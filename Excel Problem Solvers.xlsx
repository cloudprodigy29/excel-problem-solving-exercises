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guzman02\Downloads\"/>
    </mc:Choice>
  </mc:AlternateContent>
  <xr:revisionPtr revIDLastSave="0" documentId="13_ncr:1_{B6A27020-A082-46A3-A493-ACB6A3F3D431}" xr6:coauthVersionLast="47" xr6:coauthVersionMax="47" xr10:uidLastSave="{00000000-0000-0000-0000-000000000000}"/>
  <bookViews>
    <workbookView xWindow="-120" yWindow="-120" windowWidth="29040" windowHeight="17520" activeTab="2" xr2:uid="{D48CAD50-4DB3-4AE7-823C-21161891910E}"/>
  </bookViews>
  <sheets>
    <sheet name="School Shopping" sheetId="1" r:id="rId1"/>
    <sheet name="Cat or Dog" sheetId="2" r:id="rId2"/>
    <sheet name="Three vacations" sheetId="3" r:id="rId3"/>
    <sheet name="Clear up the printer confusion" sheetId="4" r:id="rId4"/>
    <sheet name="Choose from 3 ca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5" l="1"/>
  <c r="D23" i="5"/>
  <c r="B23" i="5"/>
  <c r="C6" i="5"/>
  <c r="D6" i="5"/>
  <c r="B6" i="5"/>
  <c r="D19" i="5"/>
  <c r="D25" i="5" s="1"/>
  <c r="D27" i="5" s="1"/>
  <c r="D30" i="5" s="1"/>
  <c r="D11" i="5"/>
  <c r="C17" i="5"/>
  <c r="C11" i="5" s="1"/>
  <c r="C19" i="5" s="1"/>
  <c r="C25" i="5" s="1"/>
  <c r="D17" i="5"/>
  <c r="B17" i="5"/>
  <c r="B11" i="5" s="1"/>
  <c r="B19" i="5" s="1"/>
  <c r="B25" i="5" s="1"/>
  <c r="I19" i="4"/>
  <c r="I12" i="4"/>
  <c r="H12" i="4"/>
  <c r="G12" i="4"/>
  <c r="I7" i="4"/>
  <c r="I14" i="4" s="1"/>
  <c r="I16" i="4" s="1"/>
  <c r="H7" i="4"/>
  <c r="G7" i="4"/>
  <c r="C12" i="4"/>
  <c r="D12" i="4"/>
  <c r="B12" i="4"/>
  <c r="C7" i="4"/>
  <c r="C14" i="4" s="1"/>
  <c r="C16" i="4" s="1"/>
  <c r="C19" i="4" s="1"/>
  <c r="D7" i="4"/>
  <c r="D14" i="4" s="1"/>
  <c r="D16" i="4" s="1"/>
  <c r="D19" i="4" s="1"/>
  <c r="B7" i="4"/>
  <c r="B14" i="4" s="1"/>
  <c r="B16" i="4" s="1"/>
  <c r="B19" i="4" s="1"/>
  <c r="C36" i="3"/>
  <c r="D36" i="3"/>
  <c r="D39" i="3" s="1"/>
  <c r="B36" i="3"/>
  <c r="D29" i="3"/>
  <c r="C29" i="3"/>
  <c r="B29" i="3"/>
  <c r="C23" i="3"/>
  <c r="D23" i="3"/>
  <c r="B23" i="3"/>
  <c r="C15" i="3"/>
  <c r="C17" i="3" s="1"/>
  <c r="C39" i="3" s="1"/>
  <c r="D15" i="3"/>
  <c r="D17" i="3" s="1"/>
  <c r="B15" i="3"/>
  <c r="B17" i="3" s="1"/>
  <c r="B39" i="3" s="1"/>
  <c r="C18" i="2"/>
  <c r="B18" i="2"/>
  <c r="C15" i="2"/>
  <c r="B15" i="2"/>
  <c r="C14" i="2"/>
  <c r="B14" i="2"/>
  <c r="C13" i="2"/>
  <c r="C11" i="2"/>
  <c r="B12" i="2"/>
  <c r="B11" i="2"/>
  <c r="C8" i="2"/>
  <c r="B8" i="2"/>
  <c r="N7" i="1"/>
  <c r="M7" i="1"/>
  <c r="S7" i="1"/>
  <c r="S11" i="1"/>
  <c r="T17" i="1"/>
  <c r="S17" i="1"/>
  <c r="R17" i="1"/>
  <c r="T16" i="1"/>
  <c r="S16" i="1"/>
  <c r="R16" i="1"/>
  <c r="T15" i="1"/>
  <c r="S15" i="1"/>
  <c r="R15" i="1"/>
  <c r="T14" i="1"/>
  <c r="S14" i="1"/>
  <c r="R14" i="1"/>
  <c r="T13" i="1"/>
  <c r="S13" i="1"/>
  <c r="R13" i="1"/>
  <c r="T12" i="1"/>
  <c r="S12" i="1"/>
  <c r="R12" i="1"/>
  <c r="T11" i="1"/>
  <c r="R11" i="1"/>
  <c r="T10" i="1"/>
  <c r="S10" i="1"/>
  <c r="R10" i="1"/>
  <c r="T9" i="1"/>
  <c r="S9" i="1"/>
  <c r="R9" i="1"/>
  <c r="T8" i="1"/>
  <c r="S8" i="1"/>
  <c r="R8" i="1"/>
  <c r="T7" i="1"/>
  <c r="R7" i="1"/>
  <c r="T6" i="1"/>
  <c r="S6" i="1"/>
  <c r="R6" i="1"/>
  <c r="T5" i="1"/>
  <c r="S5" i="1"/>
  <c r="R5" i="1"/>
  <c r="T4" i="1"/>
  <c r="T19" i="1" s="1"/>
  <c r="S4" i="1"/>
  <c r="S19" i="1" s="1"/>
  <c r="R4" i="1"/>
  <c r="R19" i="1" s="1"/>
  <c r="T3" i="1"/>
  <c r="S3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3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L7" i="1"/>
  <c r="N6" i="1"/>
  <c r="M6" i="1"/>
  <c r="L6" i="1"/>
  <c r="N5" i="1"/>
  <c r="M5" i="1"/>
  <c r="L5" i="1"/>
  <c r="N4" i="1"/>
  <c r="M4" i="1"/>
  <c r="L4" i="1"/>
  <c r="N3" i="1"/>
  <c r="M3" i="1"/>
  <c r="L3" i="1"/>
  <c r="I13" i="1"/>
  <c r="I12" i="1"/>
  <c r="I4" i="1"/>
  <c r="I5" i="1"/>
  <c r="I6" i="1"/>
  <c r="I7" i="1"/>
  <c r="I8" i="1"/>
  <c r="I9" i="1"/>
  <c r="I10" i="1"/>
  <c r="I11" i="1"/>
  <c r="I14" i="1"/>
  <c r="I15" i="1"/>
  <c r="I16" i="1"/>
  <c r="I1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I3" i="1"/>
  <c r="H3" i="1"/>
  <c r="G3" i="1"/>
  <c r="B27" i="5" l="1"/>
  <c r="B30" i="5" s="1"/>
  <c r="C27" i="5"/>
  <c r="C30" i="5" s="1"/>
  <c r="H14" i="4"/>
  <c r="H16" i="4" s="1"/>
  <c r="H19" i="4" s="1"/>
  <c r="G14" i="4"/>
  <c r="G16" i="4" s="1"/>
  <c r="G19" i="4" s="1"/>
  <c r="L19" i="1"/>
  <c r="N19" i="1"/>
  <c r="M19" i="1"/>
  <c r="I19" i="1"/>
  <c r="H19" i="1"/>
  <c r="G19" i="1"/>
</calcChain>
</file>

<file path=xl/sharedStrings.xml><?xml version="1.0" encoding="utf-8"?>
<sst xmlns="http://schemas.openxmlformats.org/spreadsheetml/2006/main" count="161" uniqueCount="110">
  <si>
    <t>Item</t>
  </si>
  <si>
    <t>TI-35 Calculator</t>
  </si>
  <si>
    <t>8 oz Glue</t>
  </si>
  <si>
    <t>Clear Tape</t>
  </si>
  <si>
    <t>No. 2 Pencils</t>
  </si>
  <si>
    <t>USB Stick 5GB</t>
  </si>
  <si>
    <t>Stapler</t>
  </si>
  <si>
    <t>Planner Book</t>
  </si>
  <si>
    <t>Protractor</t>
  </si>
  <si>
    <t>Compass</t>
  </si>
  <si>
    <t>Liquid Paper</t>
  </si>
  <si>
    <t>Ball Point Pen</t>
  </si>
  <si>
    <t>100 Page Notebook</t>
  </si>
  <si>
    <t>Eraser</t>
  </si>
  <si>
    <t>2-inch Binder</t>
  </si>
  <si>
    <t>8 Color Markers</t>
  </si>
  <si>
    <t>Dollar Trap</t>
  </si>
  <si>
    <t>Office Repo</t>
  </si>
  <si>
    <t>WalMart</t>
  </si>
  <si>
    <t>Susan's</t>
  </si>
  <si>
    <t>Total</t>
  </si>
  <si>
    <t>Tim's</t>
  </si>
  <si>
    <t>If they will buy together</t>
  </si>
  <si>
    <t>Cat</t>
  </si>
  <si>
    <t>Dog</t>
  </si>
  <si>
    <t>Initial</t>
  </si>
  <si>
    <t>Purchase</t>
  </si>
  <si>
    <t>Collar</t>
  </si>
  <si>
    <t>Tag</t>
  </si>
  <si>
    <t>Bowl</t>
  </si>
  <si>
    <t>Leash</t>
  </si>
  <si>
    <t>Initial Total</t>
  </si>
  <si>
    <t>Monthly</t>
  </si>
  <si>
    <t>Food</t>
  </si>
  <si>
    <t>Litter</t>
  </si>
  <si>
    <t>Treats</t>
  </si>
  <si>
    <t>Subtotal</t>
  </si>
  <si>
    <t>Monthly Total (in a year)</t>
  </si>
  <si>
    <t>Annual expenses</t>
  </si>
  <si>
    <t>Chicago Museum</t>
  </si>
  <si>
    <t>Orlando Theme Park</t>
  </si>
  <si>
    <t>Miami Cruise</t>
  </si>
  <si>
    <t>Airfare</t>
  </si>
  <si>
    <t>Natural History</t>
  </si>
  <si>
    <t>Chicago Museum of Art</t>
  </si>
  <si>
    <t>Science Museum</t>
  </si>
  <si>
    <t>Museum of Broadcast History</t>
  </si>
  <si>
    <t>Disneyland</t>
  </si>
  <si>
    <t>Universal Studios</t>
  </si>
  <si>
    <t>Sea World</t>
  </si>
  <si>
    <t>Busch Gardens</t>
  </si>
  <si>
    <t>Subtotal of Tickets (per person)</t>
  </si>
  <si>
    <t>Hotel Expenses</t>
  </si>
  <si>
    <t>Hotel Cost per night</t>
  </si>
  <si>
    <t>Number of nights</t>
  </si>
  <si>
    <t>Hotel Total</t>
  </si>
  <si>
    <t>Caribbean Cruise</t>
  </si>
  <si>
    <t>Per Person Tickets Expenses</t>
  </si>
  <si>
    <t>Car rental Expenses</t>
  </si>
  <si>
    <t>Car rental cost per day</t>
  </si>
  <si>
    <t>Number of days</t>
  </si>
  <si>
    <t>Car rental Total</t>
  </si>
  <si>
    <t>Food Expenses</t>
  </si>
  <si>
    <t>Food expenses per person</t>
  </si>
  <si>
    <t>Tickets Total</t>
  </si>
  <si>
    <t>Food Total</t>
  </si>
  <si>
    <t xml:space="preserve">Grand Total </t>
  </si>
  <si>
    <t>Epsilon</t>
  </si>
  <si>
    <t>Zero</t>
  </si>
  <si>
    <t>Purchase Price</t>
  </si>
  <si>
    <t>SUSAN</t>
  </si>
  <si>
    <t>Cost of set of cartridges</t>
  </si>
  <si>
    <t>Pages cartidge can print</t>
  </si>
  <si>
    <t>Cost per page</t>
  </si>
  <si>
    <t>Expected pages per day</t>
  </si>
  <si>
    <t>Days in week</t>
  </si>
  <si>
    <t>Weeks in Year</t>
  </si>
  <si>
    <t>Total pages in a Year</t>
  </si>
  <si>
    <t>No. of years</t>
  </si>
  <si>
    <t>Total printing cost</t>
  </si>
  <si>
    <t>Total Cost</t>
  </si>
  <si>
    <t>HP</t>
  </si>
  <si>
    <t>Printing cost in a year</t>
  </si>
  <si>
    <t>Tim</t>
  </si>
  <si>
    <t>Note: Change number of people in the group accordingly</t>
  </si>
  <si>
    <t>Number of People in the group</t>
  </si>
  <si>
    <t>Chevy Spark</t>
  </si>
  <si>
    <t>Ford Mustang</t>
  </si>
  <si>
    <t>Cadillac Escalade</t>
  </si>
  <si>
    <t>Susan</t>
  </si>
  <si>
    <t>Purchase price</t>
  </si>
  <si>
    <t>Initial Costs</t>
  </si>
  <si>
    <t>Taxes</t>
  </si>
  <si>
    <t>Yearly Costs</t>
  </si>
  <si>
    <t>Insurance</t>
  </si>
  <si>
    <t>License</t>
  </si>
  <si>
    <t>Gas</t>
  </si>
  <si>
    <t>Gas Cost Calculation</t>
  </si>
  <si>
    <t>Miles per year driven</t>
  </si>
  <si>
    <t>Price per gallon of gas</t>
  </si>
  <si>
    <t>Total Annual Gas purchases</t>
  </si>
  <si>
    <t>Miles per Gallon (MPG)</t>
  </si>
  <si>
    <t>Total initial costs</t>
  </si>
  <si>
    <t>Total Yearly Costs (Ins + Lic + Gas)</t>
  </si>
  <si>
    <t>Miles to drive each year</t>
  </si>
  <si>
    <t>Goal for maximum miles</t>
  </si>
  <si>
    <t>Total life of the car (years)</t>
  </si>
  <si>
    <t>Annual costs x Years of life</t>
  </si>
  <si>
    <t>Total lifetime Costs</t>
  </si>
  <si>
    <t>Avg cost/year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</si>
</sst>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1" formatCode="_-[$$-409]* #,##0.00_ ;_-[$$-409]* \-#,##0.00\ ;_-[$$-409]* &quot;-&quot;??_ ;_-@_ "/>
    <numFmt numFmtId="173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  <xf numFmtId="171" fontId="0" fillId="0" borderId="0" xfId="0" applyNumberFormat="1" applyAlignment="1">
      <alignment horizontal="right" vertical="center" wrapText="1"/>
    </xf>
    <xf numFmtId="171" fontId="0" fillId="0" borderId="0" xfId="0" applyNumberFormat="1"/>
    <xf numFmtId="0" fontId="2" fillId="0" borderId="0" xfId="0" applyFont="1"/>
    <xf numFmtId="171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171" fontId="2" fillId="0" borderId="2" xfId="0" applyNumberFormat="1" applyFont="1" applyBorder="1"/>
    <xf numFmtId="0" fontId="2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0" fontId="2" fillId="3" borderId="0" xfId="0" applyFont="1" applyFill="1"/>
    <xf numFmtId="171" fontId="2" fillId="3" borderId="2" xfId="0" applyNumberFormat="1" applyFont="1" applyFill="1" applyBorder="1"/>
    <xf numFmtId="0" fontId="0" fillId="0" borderId="0" xfId="0" applyFont="1"/>
    <xf numFmtId="0" fontId="2" fillId="4" borderId="0" xfId="0" applyFont="1" applyFill="1"/>
    <xf numFmtId="171" fontId="2" fillId="4" borderId="1" xfId="0" applyNumberFormat="1" applyFont="1" applyFill="1" applyBorder="1"/>
    <xf numFmtId="0" fontId="2" fillId="0" borderId="0" xfId="0" applyFont="1" applyAlignment="1">
      <alignment horizontal="center"/>
    </xf>
    <xf numFmtId="171" fontId="2" fillId="0" borderId="0" xfId="0" applyNumberFormat="1" applyFont="1" applyAlignment="1">
      <alignment horizontal="center"/>
    </xf>
    <xf numFmtId="0" fontId="2" fillId="0" borderId="2" xfId="0" applyFont="1" applyBorder="1"/>
    <xf numFmtId="171" fontId="2" fillId="4" borderId="0" xfId="0" applyNumberFormat="1" applyFont="1" applyFill="1"/>
    <xf numFmtId="0" fontId="0" fillId="2" borderId="0" xfId="0" applyFill="1"/>
    <xf numFmtId="1" fontId="0" fillId="2" borderId="0" xfId="0" applyNumberFormat="1" applyFill="1"/>
    <xf numFmtId="0" fontId="2" fillId="0" borderId="0" xfId="0" applyFont="1" applyAlignment="1">
      <alignment horizontal="center" vertical="center"/>
    </xf>
    <xf numFmtId="173" fontId="0" fillId="0" borderId="0" xfId="1" applyNumberFormat="1" applyFont="1"/>
    <xf numFmtId="1" fontId="2" fillId="0" borderId="0" xfId="0" applyNumberFormat="1" applyFont="1"/>
    <xf numFmtId="0" fontId="2" fillId="0" borderId="0" xfId="0" applyFont="1" applyBorder="1"/>
    <xf numFmtId="171" fontId="2" fillId="0" borderId="0" xfId="0" applyNumberFormat="1" applyFont="1" applyBorder="1"/>
    <xf numFmtId="1" fontId="0" fillId="0" borderId="0" xfId="0" applyNumberFormat="1" applyFont="1"/>
    <xf numFmtId="171" fontId="2" fillId="3" borderId="0" xfId="0" applyNumberFormat="1" applyFont="1" applyFill="1"/>
    <xf numFmtId="0" fontId="2" fillId="3" borderId="2" xfId="0" applyFont="1" applyFill="1" applyBorder="1"/>
    <xf numFmtId="0" fontId="2" fillId="0" borderId="0" xfId="0" applyFont="1" applyFill="1"/>
    <xf numFmtId="171" fontId="2" fillId="0" borderId="0" xfId="0" applyNumberFormat="1" applyFont="1" applyFill="1" applyBorder="1"/>
    <xf numFmtId="0" fontId="2" fillId="4" borderId="1" xfId="0" applyFont="1" applyFill="1" applyBorder="1"/>
    <xf numFmtId="171" fontId="2" fillId="5" borderId="0" xfId="0" applyNumberFormat="1" applyFont="1" applyFill="1"/>
    <xf numFmtId="171" fontId="2" fillId="5" borderId="2" xfId="0" applyNumberFormat="1" applyFont="1" applyFill="1" applyBorder="1"/>
    <xf numFmtId="171" fontId="0" fillId="0" borderId="0" xfId="0" applyNumberFormat="1" applyFill="1"/>
    <xf numFmtId="0" fontId="2" fillId="0" borderId="0" xfId="0" applyFont="1" applyFill="1" applyAlignment="1">
      <alignment horizontal="center" vertical="center"/>
    </xf>
    <xf numFmtId="171" fontId="2" fillId="0" borderId="0" xfId="0" applyNumberFormat="1" applyFont="1" applyFill="1"/>
    <xf numFmtId="173" fontId="0" fillId="0" borderId="0" xfId="1" applyNumberFormat="1" applyFont="1" applyFill="1"/>
    <xf numFmtId="1" fontId="0" fillId="0" borderId="0" xfId="0" applyNumberFormat="1" applyFill="1"/>
    <xf numFmtId="1" fontId="2" fillId="0" borderId="0" xfId="0" applyNumberFormat="1" applyFont="1" applyFill="1"/>
    <xf numFmtId="1" fontId="0" fillId="0" borderId="0" xfId="0" applyNumberFormat="1" applyFont="1" applyFill="1"/>
    <xf numFmtId="0" fontId="2" fillId="5" borderId="0" xfId="0" applyFont="1" applyFill="1"/>
    <xf numFmtId="0" fontId="2" fillId="5" borderId="2" xfId="0" applyFont="1" applyFill="1" applyBorder="1"/>
    <xf numFmtId="0" fontId="2" fillId="6" borderId="1" xfId="0" applyFont="1" applyFill="1" applyBorder="1"/>
    <xf numFmtId="171" fontId="2" fillId="6" borderId="1" xfId="0" applyNumberFormat="1" applyFont="1" applyFill="1" applyBorder="1"/>
    <xf numFmtId="0" fontId="6" fillId="0" borderId="0" xfId="0" applyFont="1"/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for Susan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'School Shopping'!$F$19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Shopping'!$G$18:$I$18</c:f>
              <c:strCache>
                <c:ptCount val="3"/>
                <c:pt idx="0">
                  <c:v>WalMart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'School Shopping'!$G$19:$I$19</c:f>
              <c:numCache>
                <c:formatCode>_-[$$-409]* #,##0.00_ ;_-[$$-409]* \-#,##0.00\ ;_-[$$-409]* "-"??_ ;_-@_ </c:formatCode>
                <c:ptCount val="3"/>
                <c:pt idx="0">
                  <c:v>91.7</c:v>
                </c:pt>
                <c:pt idx="1">
                  <c:v>92.85</c:v>
                </c:pt>
                <c:pt idx="2">
                  <c:v>126.6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3-4831-AAB8-528B0A472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40847"/>
        <c:axId val="125245647"/>
      </c:barChart>
      <c:catAx>
        <c:axId val="12524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5647"/>
        <c:crosses val="autoZero"/>
        <c:auto val="1"/>
        <c:lblAlgn val="ctr"/>
        <c:lblOffset val="100"/>
        <c:noMultiLvlLbl val="0"/>
      </c:catAx>
      <c:valAx>
        <c:axId val="12524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Cost for Tim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'School Shopping'!$K$19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Shopping'!$L$18:$N$18</c:f>
              <c:strCache>
                <c:ptCount val="3"/>
                <c:pt idx="0">
                  <c:v>WalMart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'School Shopping'!$L$19:$N$19</c:f>
              <c:numCache>
                <c:formatCode>_-[$$-409]* #,##0.00_ ;_-[$$-409]* \-#,##0.00\ ;_-[$$-409]* "-"??_ ;_-@_ </c:formatCode>
                <c:ptCount val="3"/>
                <c:pt idx="0">
                  <c:v>77.149999999999991</c:v>
                </c:pt>
                <c:pt idx="1">
                  <c:v>74.749999999999986</c:v>
                </c:pt>
                <c:pt idx="2">
                  <c:v>110.6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A-490F-94A5-065291684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61007"/>
        <c:axId val="125246127"/>
      </c:barChart>
      <c:catAx>
        <c:axId val="12526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6127"/>
        <c:crosses val="autoZero"/>
        <c:auto val="1"/>
        <c:lblAlgn val="ctr"/>
        <c:lblOffset val="100"/>
        <c:noMultiLvlLbl val="0"/>
      </c:catAx>
      <c:valAx>
        <c:axId val="12524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Cost if they will buy together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'School Shopping'!$Q$19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Shopping'!$R$18:$T$18</c:f>
              <c:strCache>
                <c:ptCount val="3"/>
                <c:pt idx="0">
                  <c:v>WalMart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'School Shopping'!$R$19:$T$19</c:f>
              <c:numCache>
                <c:formatCode>_-[$$-409]* #,##0.00_ ;_-[$$-409]* \-#,##0.00\ ;_-[$$-409]* "-"??_ ;_-@_ </c:formatCode>
                <c:ptCount val="3"/>
                <c:pt idx="0">
                  <c:v>168.84999999999997</c:v>
                </c:pt>
                <c:pt idx="1">
                  <c:v>167.6</c:v>
                </c:pt>
                <c:pt idx="2">
                  <c:v>237.20000000000002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F-4B96-94E5-1782E7DD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73007"/>
        <c:axId val="125271087"/>
      </c:barChart>
      <c:catAx>
        <c:axId val="12527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71087"/>
        <c:crosses val="autoZero"/>
        <c:auto val="1"/>
        <c:lblAlgn val="ctr"/>
        <c:lblOffset val="100"/>
        <c:noMultiLvlLbl val="0"/>
      </c:catAx>
      <c:valAx>
        <c:axId val="12527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7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 or Dog'!$A$18</c:f>
              <c:strCache>
                <c:ptCount val="1"/>
                <c:pt idx="0">
                  <c:v>Annual 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 or Dog'!$B$17:$C$17</c:f>
              <c:strCache>
                <c:ptCount val="2"/>
                <c:pt idx="0">
                  <c:v> Dog </c:v>
                </c:pt>
                <c:pt idx="1">
                  <c:v> Cat </c:v>
                </c:pt>
              </c:strCache>
            </c:strRef>
          </c:cat>
          <c:val>
            <c:numRef>
              <c:f>'Cat or Dog'!$B$18:$C$18</c:f>
              <c:numCache>
                <c:formatCode>_-[$$-409]* #,##0.00_ ;_-[$$-409]* \-#,##0.00\ ;_-[$$-409]* "-"??_ ;_-@_ </c:formatCode>
                <c:ptCount val="2"/>
                <c:pt idx="0">
                  <c:v>519.5</c:v>
                </c:pt>
                <c:pt idx="1">
                  <c:v>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7-4D66-A0CA-BE537EDB3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76847"/>
        <c:axId val="125276367"/>
      </c:barChart>
      <c:catAx>
        <c:axId val="12527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76367"/>
        <c:crosses val="autoZero"/>
        <c:auto val="1"/>
        <c:lblAlgn val="ctr"/>
        <c:lblOffset val="100"/>
        <c:noMultiLvlLbl val="0"/>
      </c:catAx>
      <c:valAx>
        <c:axId val="12527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7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'Three vacations'!$A$39</c:f>
              <c:strCache>
                <c:ptCount val="1"/>
                <c:pt idx="0">
                  <c:v>Grand Total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'Three vacations'!$B$38:$D$38</c:f>
              <c:strCache>
                <c:ptCount val="3"/>
                <c:pt idx="0">
                  <c:v>Chicago Museum</c:v>
                </c:pt>
                <c:pt idx="1">
                  <c:v>Orlando Theme Park</c:v>
                </c:pt>
                <c:pt idx="2">
                  <c:v>Miami Cruise</c:v>
                </c:pt>
              </c:strCache>
            </c:strRef>
          </c:cat>
          <c:val>
            <c:numRef>
              <c:f>'Three vacations'!$B$39:$D$39</c:f>
              <c:numCache>
                <c:formatCode>_-[$$-409]* #,##0.00_ ;_-[$$-409]* \-#,##0.00\ ;_-[$$-409]* "-"??_ ;_-@_ </c:formatCode>
                <c:ptCount val="3"/>
                <c:pt idx="0">
                  <c:v>1954</c:v>
                </c:pt>
                <c:pt idx="1">
                  <c:v>1953</c:v>
                </c:pt>
                <c:pt idx="2">
                  <c:v>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B-4269-8085-68922448B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66767"/>
        <c:axId val="125261967"/>
      </c:barChart>
      <c:catAx>
        <c:axId val="12526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1967"/>
        <c:crosses val="autoZero"/>
        <c:auto val="1"/>
        <c:lblAlgn val="ctr"/>
        <c:lblOffset val="100"/>
        <c:noMultiLvlLbl val="0"/>
      </c:catAx>
      <c:valAx>
        <c:axId val="1252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Cost for Susan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'Clear up the printer confusion'!$A$19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'Clear up the printer confusion'!$B$18:$D$18</c:f>
              <c:strCache>
                <c:ptCount val="3"/>
                <c:pt idx="0">
                  <c:v>Epsilon</c:v>
                </c:pt>
                <c:pt idx="1">
                  <c:v>HP</c:v>
                </c:pt>
                <c:pt idx="2">
                  <c:v>Zero</c:v>
                </c:pt>
              </c:strCache>
            </c:strRef>
          </c:cat>
          <c:val>
            <c:numRef>
              <c:f>'Clear up the printer confusion'!$B$19:$D$19</c:f>
              <c:numCache>
                <c:formatCode>_-[$$-409]* #,##0.00_ ;_-[$$-409]* \-#,##0.00\ ;_-[$$-409]* "-"??_ ;_-@_ </c:formatCode>
                <c:ptCount val="3"/>
                <c:pt idx="0">
                  <c:v>1529</c:v>
                </c:pt>
                <c:pt idx="1">
                  <c:v>824</c:v>
                </c:pt>
                <c:pt idx="2">
                  <c:v>801.27272727272725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2-480C-8B8C-2B9B7C40A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63887"/>
        <c:axId val="125280687"/>
      </c:barChart>
      <c:catAx>
        <c:axId val="12526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80687"/>
        <c:crosses val="autoZero"/>
        <c:auto val="1"/>
        <c:lblAlgn val="ctr"/>
        <c:lblOffset val="100"/>
        <c:noMultiLvlLbl val="0"/>
      </c:catAx>
      <c:valAx>
        <c:axId val="12528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Cost for Tim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'Clear up the printer confusion'!$F$19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'Clear up the printer confusion'!$G$18:$I$18</c:f>
              <c:strCache>
                <c:ptCount val="3"/>
                <c:pt idx="0">
                  <c:v>Epsilon</c:v>
                </c:pt>
                <c:pt idx="1">
                  <c:v>HP</c:v>
                </c:pt>
                <c:pt idx="2">
                  <c:v>Zero</c:v>
                </c:pt>
              </c:strCache>
            </c:strRef>
          </c:cat>
          <c:val>
            <c:numRef>
              <c:f>'Clear up the printer confusion'!$G$19:$I$19</c:f>
              <c:numCache>
                <c:formatCode>_-[$$-409]* #,##0.00_ ;_-[$$-409]* \-#,##0.00\ ;_-[$$-409]* "-"??_ ;_-@_ </c:formatCode>
                <c:ptCount val="3"/>
                <c:pt idx="0">
                  <c:v>50029</c:v>
                </c:pt>
                <c:pt idx="1">
                  <c:v>22649</c:v>
                </c:pt>
                <c:pt idx="2">
                  <c:v>8958.0909090909099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1-405B-B77F-F9BBB80F7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60527"/>
        <c:axId val="125273967"/>
      </c:barChart>
      <c:catAx>
        <c:axId val="12526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73967"/>
        <c:crosses val="autoZero"/>
        <c:auto val="1"/>
        <c:lblAlgn val="ctr"/>
        <c:lblOffset val="100"/>
        <c:noMultiLvlLbl val="0"/>
      </c:catAx>
      <c:valAx>
        <c:axId val="1252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'Choose from 3 cars'!$A$30</c:f>
              <c:strCache>
                <c:ptCount val="1"/>
                <c:pt idx="0">
                  <c:v>Avg cost/year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'Choose from 3 cars'!$B$29:$D$29</c:f>
              <c:strCache>
                <c:ptCount val="3"/>
                <c:pt idx="0">
                  <c:v>Chevy Spark</c:v>
                </c:pt>
                <c:pt idx="1">
                  <c:v>Ford Mustang</c:v>
                </c:pt>
                <c:pt idx="2">
                  <c:v>Cadillac Escalade</c:v>
                </c:pt>
              </c:strCache>
            </c:strRef>
          </c:cat>
          <c:val>
            <c:numRef>
              <c:f>'Choose from 3 cars'!$B$30:$D$30</c:f>
              <c:numCache>
                <c:formatCode>_-[$$-409]* #,##0.00_ ;_-[$$-409]* \-#,##0.00\ ;_-[$$-409]* "-"??_ ;_-@_ </c:formatCode>
                <c:ptCount val="3"/>
                <c:pt idx="0">
                  <c:v>345538.28571428568</c:v>
                </c:pt>
                <c:pt idx="1">
                  <c:v>636734.10526315786</c:v>
                </c:pt>
                <c:pt idx="2">
                  <c:v>716995.17647058819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B-4D37-834C-6416E1B42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58127"/>
        <c:axId val="125258607"/>
      </c:barChart>
      <c:catAx>
        <c:axId val="12525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8607"/>
        <c:crosses val="autoZero"/>
        <c:auto val="1"/>
        <c:lblAlgn val="ctr"/>
        <c:lblOffset val="100"/>
        <c:noMultiLvlLbl val="0"/>
      </c:catAx>
      <c:valAx>
        <c:axId val="1252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20</xdr:row>
      <xdr:rowOff>157162</xdr:rowOff>
    </xdr:from>
    <xdr:to>
      <xdr:col>8</xdr:col>
      <xdr:colOff>809625</xdr:colOff>
      <xdr:row>35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5877B4-99B0-ECE2-7348-F6FD8301B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176212</xdr:rowOff>
    </xdr:from>
    <xdr:to>
      <xdr:col>16</xdr:col>
      <xdr:colOff>200025</xdr:colOff>
      <xdr:row>35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3D9FBA-5253-BD96-3C05-60A21AE9C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76200</xdr:colOff>
      <xdr:row>20</xdr:row>
      <xdr:rowOff>185737</xdr:rowOff>
    </xdr:from>
    <xdr:to>
      <xdr:col>23</xdr:col>
      <xdr:colOff>276225</xdr:colOff>
      <xdr:row>35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783110-19E6-38BD-3681-753FD0D23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1</xdr:row>
      <xdr:rowOff>4761</xdr:rowOff>
    </xdr:from>
    <xdr:to>
      <xdr:col>12</xdr:col>
      <xdr:colOff>47624</xdr:colOff>
      <xdr:row>16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E7B893-21F5-3565-165A-611D717A1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166686</xdr:rowOff>
    </xdr:from>
    <xdr:to>
      <xdr:col>15</xdr:col>
      <xdr:colOff>38100</xdr:colOff>
      <xdr:row>20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D7F92-BC4B-8E0E-D06E-A929C82EA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981075</xdr:colOff>
      <xdr:row>20</xdr:row>
      <xdr:rowOff>185737</xdr:rowOff>
    </xdr:from>
    <xdr:to>
      <xdr:col>3</xdr:col>
      <xdr:colOff>1219200</xdr:colOff>
      <xdr:row>35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8C7CE-7301-04EB-19CC-93CB03D6F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1014412</xdr:colOff>
      <xdr:row>21</xdr:row>
      <xdr:rowOff>14287</xdr:rowOff>
    </xdr:from>
    <xdr:to>
      <xdr:col>9</xdr:col>
      <xdr:colOff>23812</xdr:colOff>
      <xdr:row>35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C6674B-7AEE-4AC7-27C8-1010B0A85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31</xdr:row>
      <xdr:rowOff>14287</xdr:rowOff>
    </xdr:from>
    <xdr:to>
      <xdr:col>3</xdr:col>
      <xdr:colOff>1219199</xdr:colOff>
      <xdr:row>50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53A9B-E9F8-1C6A-24C8-0C81B82A2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87C7-C61E-4A5B-A431-4E88E1A5EA34}">
  <dimension ref="A1:T34"/>
  <sheetViews>
    <sheetView workbookViewId="0">
      <selection activeCell="B25" sqref="B25"/>
    </sheetView>
  </sheetViews>
  <sheetFormatPr defaultRowHeight="15" x14ac:dyDescent="0.25"/>
  <cols>
    <col min="1" max="1" width="38" customWidth="1"/>
    <col min="2" max="4" width="12.7109375" customWidth="1"/>
    <col min="7" max="9" width="12.7109375" customWidth="1"/>
    <col min="12" max="14" width="12.7109375" customWidth="1"/>
    <col min="18" max="20" width="12.7109375" customWidth="1"/>
    <col min="21" max="21" width="9.140625" customWidth="1"/>
  </cols>
  <sheetData>
    <row r="1" spans="1:20" x14ac:dyDescent="0.25">
      <c r="F1" s="1" t="s">
        <v>19</v>
      </c>
      <c r="K1" s="8" t="s">
        <v>21</v>
      </c>
      <c r="Q1" s="8" t="s">
        <v>22</v>
      </c>
    </row>
    <row r="2" spans="1:20" ht="30.75" customHeight="1" x14ac:dyDescent="0.25">
      <c r="A2" s="1" t="s">
        <v>0</v>
      </c>
      <c r="B2" s="1" t="s">
        <v>18</v>
      </c>
      <c r="C2" s="1" t="s">
        <v>16</v>
      </c>
      <c r="D2" s="1" t="s">
        <v>17</v>
      </c>
      <c r="E2" s="10"/>
      <c r="F2" s="10"/>
      <c r="G2" s="1" t="s">
        <v>18</v>
      </c>
      <c r="H2" s="1" t="s">
        <v>16</v>
      </c>
      <c r="I2" s="1" t="s">
        <v>17</v>
      </c>
      <c r="L2" s="1" t="s">
        <v>18</v>
      </c>
      <c r="M2" s="1" t="s">
        <v>16</v>
      </c>
      <c r="N2" s="1" t="s">
        <v>17</v>
      </c>
      <c r="R2" s="1" t="s">
        <v>18</v>
      </c>
      <c r="S2" s="1" t="s">
        <v>16</v>
      </c>
      <c r="T2" s="1" t="s">
        <v>17</v>
      </c>
    </row>
    <row r="3" spans="1:20" x14ac:dyDescent="0.25">
      <c r="A3" s="4" t="s">
        <v>11</v>
      </c>
      <c r="B3" s="6">
        <v>0.5</v>
      </c>
      <c r="C3" s="6">
        <v>0.4</v>
      </c>
      <c r="D3" s="6">
        <v>1.4</v>
      </c>
      <c r="F3" s="5">
        <v>3</v>
      </c>
      <c r="G3" s="7">
        <f>B3*$F3</f>
        <v>1.5</v>
      </c>
      <c r="H3" s="7">
        <f>C3*$F3</f>
        <v>1.2000000000000002</v>
      </c>
      <c r="I3" s="7">
        <f>D3*$F3</f>
        <v>4.1999999999999993</v>
      </c>
      <c r="K3">
        <v>5</v>
      </c>
      <c r="L3" s="7">
        <f>B3*$K3</f>
        <v>2.5</v>
      </c>
      <c r="M3" s="7">
        <f t="shared" ref="M3:M18" si="0">C3*$K3</f>
        <v>2</v>
      </c>
      <c r="N3" s="7">
        <f t="shared" ref="N3:N18" si="1">D3*$K3</f>
        <v>7</v>
      </c>
      <c r="Q3" s="5">
        <f>F3+K3</f>
        <v>8</v>
      </c>
      <c r="R3" s="7">
        <f>B3*$Q3</f>
        <v>4</v>
      </c>
      <c r="S3" s="7">
        <f t="shared" ref="S3:S17" si="2">C3*$Q3</f>
        <v>3.2</v>
      </c>
      <c r="T3" s="7">
        <f t="shared" ref="T3:T17" si="3">D3*$Q3</f>
        <v>11.2</v>
      </c>
    </row>
    <row r="4" spans="1:20" x14ac:dyDescent="0.25">
      <c r="A4" s="4" t="s">
        <v>1</v>
      </c>
      <c r="B4" s="6">
        <v>28</v>
      </c>
      <c r="C4" s="6">
        <v>33</v>
      </c>
      <c r="D4" s="6">
        <v>31</v>
      </c>
      <c r="F4" s="5">
        <v>1</v>
      </c>
      <c r="G4" s="7">
        <f>B4*$F4</f>
        <v>28</v>
      </c>
      <c r="H4" s="7">
        <f t="shared" ref="H4:H17" si="4">C4*$F4</f>
        <v>33</v>
      </c>
      <c r="I4" s="7">
        <f t="shared" ref="I4:I17" si="5">D4*$F4</f>
        <v>31</v>
      </c>
      <c r="K4">
        <v>1</v>
      </c>
      <c r="L4" s="7">
        <f t="shared" ref="L4:L18" si="6">B4*$K4</f>
        <v>28</v>
      </c>
      <c r="M4" s="7">
        <f t="shared" si="0"/>
        <v>33</v>
      </c>
      <c r="N4" s="7">
        <f t="shared" si="1"/>
        <v>31</v>
      </c>
      <c r="Q4" s="5">
        <f t="shared" ref="Q4:Q17" si="7">F4+K4</f>
        <v>2</v>
      </c>
      <c r="R4" s="7">
        <f t="shared" ref="R4:R17" si="8">B4*$Q4</f>
        <v>56</v>
      </c>
      <c r="S4" s="7">
        <f t="shared" si="2"/>
        <v>66</v>
      </c>
      <c r="T4" s="7">
        <f t="shared" si="3"/>
        <v>62</v>
      </c>
    </row>
    <row r="5" spans="1:20" x14ac:dyDescent="0.25">
      <c r="A5" s="4" t="s">
        <v>12</v>
      </c>
      <c r="B5" s="6">
        <v>1.8</v>
      </c>
      <c r="C5" s="6">
        <v>1</v>
      </c>
      <c r="D5" s="6">
        <v>2</v>
      </c>
      <c r="F5" s="5">
        <v>7</v>
      </c>
      <c r="G5" s="7">
        <f t="shared" ref="G4:G17" si="9">B5*$F5</f>
        <v>12.6</v>
      </c>
      <c r="H5" s="7">
        <f t="shared" si="4"/>
        <v>7</v>
      </c>
      <c r="I5" s="7">
        <f t="shared" si="5"/>
        <v>14</v>
      </c>
      <c r="K5">
        <v>4</v>
      </c>
      <c r="L5" s="7">
        <f t="shared" si="6"/>
        <v>7.2</v>
      </c>
      <c r="M5" s="7">
        <f t="shared" si="0"/>
        <v>4</v>
      </c>
      <c r="N5" s="7">
        <f t="shared" si="1"/>
        <v>8</v>
      </c>
      <c r="Q5" s="5">
        <f t="shared" si="7"/>
        <v>11</v>
      </c>
      <c r="R5" s="7">
        <f t="shared" si="8"/>
        <v>19.8</v>
      </c>
      <c r="S5" s="7">
        <f t="shared" si="2"/>
        <v>11</v>
      </c>
      <c r="T5" s="7">
        <f t="shared" si="3"/>
        <v>22</v>
      </c>
    </row>
    <row r="6" spans="1:20" x14ac:dyDescent="0.25">
      <c r="A6" s="4" t="s">
        <v>2</v>
      </c>
      <c r="B6" s="6">
        <v>1.2</v>
      </c>
      <c r="C6" s="6">
        <v>0.8</v>
      </c>
      <c r="D6" s="6">
        <v>1.5</v>
      </c>
      <c r="F6" s="5">
        <v>1</v>
      </c>
      <c r="G6" s="7">
        <f t="shared" si="9"/>
        <v>1.2</v>
      </c>
      <c r="H6" s="7">
        <f t="shared" si="4"/>
        <v>0.8</v>
      </c>
      <c r="I6" s="7">
        <f t="shared" si="5"/>
        <v>1.5</v>
      </c>
      <c r="K6">
        <v>2</v>
      </c>
      <c r="L6" s="7">
        <f t="shared" si="6"/>
        <v>2.4</v>
      </c>
      <c r="M6" s="7">
        <f t="shared" si="0"/>
        <v>1.6</v>
      </c>
      <c r="N6" s="7">
        <f t="shared" si="1"/>
        <v>3</v>
      </c>
      <c r="Q6" s="5">
        <f t="shared" si="7"/>
        <v>3</v>
      </c>
      <c r="R6" s="7">
        <f t="shared" si="8"/>
        <v>3.5999999999999996</v>
      </c>
      <c r="S6" s="7">
        <f t="shared" si="2"/>
        <v>2.4000000000000004</v>
      </c>
      <c r="T6" s="7">
        <f t="shared" si="3"/>
        <v>4.5</v>
      </c>
    </row>
    <row r="7" spans="1:20" x14ac:dyDescent="0.25">
      <c r="A7" s="4" t="s">
        <v>3</v>
      </c>
      <c r="B7" s="6">
        <v>2.4</v>
      </c>
      <c r="C7" s="6">
        <v>1.4</v>
      </c>
      <c r="D7" s="6">
        <v>2.4</v>
      </c>
      <c r="F7" s="5">
        <v>2</v>
      </c>
      <c r="G7" s="7">
        <f t="shared" si="9"/>
        <v>4.8</v>
      </c>
      <c r="H7" s="7">
        <f t="shared" si="4"/>
        <v>2.8</v>
      </c>
      <c r="I7" s="7">
        <f t="shared" si="5"/>
        <v>4.8</v>
      </c>
      <c r="K7">
        <v>2</v>
      </c>
      <c r="L7" s="7">
        <f t="shared" si="6"/>
        <v>4.8</v>
      </c>
      <c r="M7" s="7">
        <f>C7*$K7</f>
        <v>2.8</v>
      </c>
      <c r="N7" s="7">
        <f>D7*$K7</f>
        <v>4.8</v>
      </c>
      <c r="Q7" s="5">
        <f t="shared" si="7"/>
        <v>4</v>
      </c>
      <c r="R7" s="7">
        <f t="shared" si="8"/>
        <v>9.6</v>
      </c>
      <c r="S7" s="7">
        <f>C7*$Q7</f>
        <v>5.6</v>
      </c>
      <c r="T7" s="7">
        <f t="shared" si="3"/>
        <v>9.6</v>
      </c>
    </row>
    <row r="8" spans="1:20" x14ac:dyDescent="0.25">
      <c r="A8" s="4" t="s">
        <v>13</v>
      </c>
      <c r="B8" s="6">
        <v>0.9</v>
      </c>
      <c r="C8" s="6">
        <v>0.2</v>
      </c>
      <c r="D8" s="6">
        <v>0.8</v>
      </c>
      <c r="F8" s="5">
        <v>2</v>
      </c>
      <c r="G8" s="7">
        <f t="shared" si="9"/>
        <v>1.8</v>
      </c>
      <c r="H8" s="7">
        <f t="shared" si="4"/>
        <v>0.4</v>
      </c>
      <c r="I8" s="7">
        <f t="shared" si="5"/>
        <v>1.6</v>
      </c>
      <c r="K8">
        <v>2</v>
      </c>
      <c r="L8" s="7">
        <f t="shared" si="6"/>
        <v>1.8</v>
      </c>
      <c r="M8" s="7">
        <f t="shared" si="0"/>
        <v>0.4</v>
      </c>
      <c r="N8" s="7">
        <f t="shared" si="1"/>
        <v>1.6</v>
      </c>
      <c r="Q8" s="5">
        <f t="shared" si="7"/>
        <v>4</v>
      </c>
      <c r="R8" s="7">
        <f t="shared" si="8"/>
        <v>3.6</v>
      </c>
      <c r="S8" s="7">
        <f t="shared" si="2"/>
        <v>0.8</v>
      </c>
      <c r="T8" s="7">
        <f t="shared" si="3"/>
        <v>3.2</v>
      </c>
    </row>
    <row r="9" spans="1:20" x14ac:dyDescent="0.25">
      <c r="A9" s="4" t="s">
        <v>4</v>
      </c>
      <c r="B9" s="6">
        <v>0.99</v>
      </c>
      <c r="C9" s="6">
        <v>0.59</v>
      </c>
      <c r="D9" s="6">
        <v>2.59</v>
      </c>
      <c r="F9" s="5">
        <v>10</v>
      </c>
      <c r="G9" s="7">
        <f t="shared" si="9"/>
        <v>9.9</v>
      </c>
      <c r="H9" s="7">
        <f t="shared" si="4"/>
        <v>5.8999999999999995</v>
      </c>
      <c r="I9" s="7">
        <f t="shared" si="5"/>
        <v>25.9</v>
      </c>
      <c r="K9">
        <v>10</v>
      </c>
      <c r="L9" s="7">
        <f t="shared" si="6"/>
        <v>9.9</v>
      </c>
      <c r="M9" s="7">
        <f t="shared" si="0"/>
        <v>5.8999999999999995</v>
      </c>
      <c r="N9" s="7">
        <f t="shared" si="1"/>
        <v>25.9</v>
      </c>
      <c r="Q9" s="5">
        <f t="shared" si="7"/>
        <v>20</v>
      </c>
      <c r="R9" s="7">
        <f t="shared" si="8"/>
        <v>19.8</v>
      </c>
      <c r="S9" s="7">
        <f t="shared" si="2"/>
        <v>11.799999999999999</v>
      </c>
      <c r="T9" s="7">
        <f t="shared" si="3"/>
        <v>51.8</v>
      </c>
    </row>
    <row r="10" spans="1:20" x14ac:dyDescent="0.25">
      <c r="A10" s="4" t="s">
        <v>14</v>
      </c>
      <c r="B10" s="6">
        <v>1.25</v>
      </c>
      <c r="C10" s="6">
        <v>3.25</v>
      </c>
      <c r="D10" s="6">
        <v>2.15</v>
      </c>
      <c r="F10" s="5">
        <v>4</v>
      </c>
      <c r="G10" s="7">
        <f t="shared" si="9"/>
        <v>5</v>
      </c>
      <c r="H10" s="7">
        <f t="shared" si="4"/>
        <v>13</v>
      </c>
      <c r="I10" s="7">
        <f t="shared" si="5"/>
        <v>8.6</v>
      </c>
      <c r="K10">
        <v>2</v>
      </c>
      <c r="L10" s="7">
        <f t="shared" si="6"/>
        <v>2.5</v>
      </c>
      <c r="M10" s="7">
        <f t="shared" si="0"/>
        <v>6.5</v>
      </c>
      <c r="N10" s="7">
        <f t="shared" si="1"/>
        <v>4.3</v>
      </c>
      <c r="Q10" s="5">
        <f t="shared" si="7"/>
        <v>6</v>
      </c>
      <c r="R10" s="7">
        <f t="shared" si="8"/>
        <v>7.5</v>
      </c>
      <c r="S10" s="7">
        <f t="shared" si="2"/>
        <v>19.5</v>
      </c>
      <c r="T10" s="7">
        <f t="shared" si="3"/>
        <v>12.899999999999999</v>
      </c>
    </row>
    <row r="11" spans="1:20" x14ac:dyDescent="0.25">
      <c r="A11" s="4" t="s">
        <v>5</v>
      </c>
      <c r="B11" s="6">
        <v>9.5</v>
      </c>
      <c r="C11" s="6">
        <v>14</v>
      </c>
      <c r="D11" s="6">
        <v>13</v>
      </c>
      <c r="F11" s="5">
        <v>1</v>
      </c>
      <c r="G11" s="7">
        <f t="shared" si="9"/>
        <v>9.5</v>
      </c>
      <c r="H11" s="7">
        <f t="shared" si="4"/>
        <v>14</v>
      </c>
      <c r="I11" s="7">
        <f t="shared" si="5"/>
        <v>13</v>
      </c>
      <c r="K11">
        <v>1</v>
      </c>
      <c r="L11" s="7">
        <f t="shared" si="6"/>
        <v>9.5</v>
      </c>
      <c r="M11" s="7">
        <f t="shared" si="0"/>
        <v>14</v>
      </c>
      <c r="N11" s="7">
        <f t="shared" si="1"/>
        <v>13</v>
      </c>
      <c r="Q11" s="5">
        <f t="shared" si="7"/>
        <v>2</v>
      </c>
      <c r="R11" s="7">
        <f t="shared" si="8"/>
        <v>19</v>
      </c>
      <c r="S11" s="7">
        <f>C11*$Q11</f>
        <v>28</v>
      </c>
      <c r="T11" s="7">
        <f t="shared" si="3"/>
        <v>26</v>
      </c>
    </row>
    <row r="12" spans="1:20" x14ac:dyDescent="0.25">
      <c r="A12" s="4" t="s">
        <v>15</v>
      </c>
      <c r="B12" s="6">
        <v>4.55</v>
      </c>
      <c r="C12" s="6">
        <v>2.5499999999999998</v>
      </c>
      <c r="D12" s="6">
        <v>6</v>
      </c>
      <c r="F12" s="5">
        <v>1</v>
      </c>
      <c r="G12" s="7">
        <f t="shared" si="9"/>
        <v>4.55</v>
      </c>
      <c r="H12" s="7">
        <f t="shared" si="4"/>
        <v>2.5499999999999998</v>
      </c>
      <c r="I12" s="7">
        <f>D12*$F12</f>
        <v>6</v>
      </c>
      <c r="K12">
        <v>1</v>
      </c>
      <c r="L12" s="7">
        <f t="shared" si="6"/>
        <v>4.55</v>
      </c>
      <c r="M12" s="7">
        <f t="shared" si="0"/>
        <v>2.5499999999999998</v>
      </c>
      <c r="N12" s="7">
        <f t="shared" si="1"/>
        <v>6</v>
      </c>
      <c r="Q12" s="5">
        <f t="shared" si="7"/>
        <v>2</v>
      </c>
      <c r="R12" s="7">
        <f t="shared" si="8"/>
        <v>9.1</v>
      </c>
      <c r="S12" s="7">
        <f t="shared" si="2"/>
        <v>5.0999999999999996</v>
      </c>
      <c r="T12" s="7">
        <f t="shared" si="3"/>
        <v>12</v>
      </c>
    </row>
    <row r="13" spans="1:20" x14ac:dyDescent="0.25">
      <c r="A13" s="4" t="s">
        <v>6</v>
      </c>
      <c r="B13" s="6">
        <v>4.2</v>
      </c>
      <c r="C13" s="6">
        <v>2.2000000000000002</v>
      </c>
      <c r="D13" s="6">
        <v>3</v>
      </c>
      <c r="F13" s="5">
        <v>1</v>
      </c>
      <c r="G13" s="7">
        <f t="shared" si="9"/>
        <v>4.2</v>
      </c>
      <c r="H13" s="7">
        <f t="shared" si="4"/>
        <v>2.2000000000000002</v>
      </c>
      <c r="I13" s="7">
        <f>D13*$F13</f>
        <v>3</v>
      </c>
      <c r="L13" s="7">
        <f t="shared" si="6"/>
        <v>0</v>
      </c>
      <c r="M13" s="7">
        <f t="shared" si="0"/>
        <v>0</v>
      </c>
      <c r="N13" s="7">
        <f t="shared" si="1"/>
        <v>0</v>
      </c>
      <c r="Q13" s="5">
        <f t="shared" si="7"/>
        <v>1</v>
      </c>
      <c r="R13" s="7">
        <f t="shared" si="8"/>
        <v>4.2</v>
      </c>
      <c r="S13" s="7">
        <f t="shared" si="2"/>
        <v>2.2000000000000002</v>
      </c>
      <c r="T13" s="7">
        <f t="shared" si="3"/>
        <v>3</v>
      </c>
    </row>
    <row r="14" spans="1:20" x14ac:dyDescent="0.25">
      <c r="A14" s="4" t="s">
        <v>7</v>
      </c>
      <c r="B14" s="6">
        <v>3.9</v>
      </c>
      <c r="C14" s="6">
        <v>5</v>
      </c>
      <c r="D14" s="6">
        <v>8</v>
      </c>
      <c r="F14" s="5">
        <v>1</v>
      </c>
      <c r="G14" s="7">
        <f t="shared" si="9"/>
        <v>3.9</v>
      </c>
      <c r="H14" s="7">
        <f t="shared" si="4"/>
        <v>5</v>
      </c>
      <c r="I14" s="7">
        <f t="shared" si="5"/>
        <v>8</v>
      </c>
      <c r="L14" s="7">
        <f t="shared" si="6"/>
        <v>0</v>
      </c>
      <c r="M14" s="7">
        <f t="shared" si="0"/>
        <v>0</v>
      </c>
      <c r="N14" s="7">
        <f t="shared" si="1"/>
        <v>0</v>
      </c>
      <c r="Q14" s="5">
        <f t="shared" si="7"/>
        <v>1</v>
      </c>
      <c r="R14" s="7">
        <f t="shared" si="8"/>
        <v>3.9</v>
      </c>
      <c r="S14" s="7">
        <f t="shared" si="2"/>
        <v>5</v>
      </c>
      <c r="T14" s="7">
        <f t="shared" si="3"/>
        <v>8</v>
      </c>
    </row>
    <row r="15" spans="1:20" x14ac:dyDescent="0.25">
      <c r="A15" s="4" t="s">
        <v>8</v>
      </c>
      <c r="B15" s="6">
        <v>1</v>
      </c>
      <c r="C15" s="6">
        <v>2</v>
      </c>
      <c r="D15" s="6">
        <v>1</v>
      </c>
      <c r="F15" s="5">
        <v>1</v>
      </c>
      <c r="G15" s="7">
        <f t="shared" si="9"/>
        <v>1</v>
      </c>
      <c r="H15" s="7">
        <f t="shared" si="4"/>
        <v>2</v>
      </c>
      <c r="I15" s="7">
        <f t="shared" si="5"/>
        <v>1</v>
      </c>
      <c r="L15" s="7">
        <f t="shared" si="6"/>
        <v>0</v>
      </c>
      <c r="M15" s="7">
        <f t="shared" si="0"/>
        <v>0</v>
      </c>
      <c r="N15" s="7">
        <f t="shared" si="1"/>
        <v>0</v>
      </c>
      <c r="Q15" s="5">
        <f t="shared" si="7"/>
        <v>1</v>
      </c>
      <c r="R15" s="7">
        <f t="shared" si="8"/>
        <v>1</v>
      </c>
      <c r="S15" s="7">
        <f t="shared" si="2"/>
        <v>2</v>
      </c>
      <c r="T15" s="7">
        <f t="shared" si="3"/>
        <v>1</v>
      </c>
    </row>
    <row r="16" spans="1:20" x14ac:dyDescent="0.25">
      <c r="A16" s="4" t="s">
        <v>9</v>
      </c>
      <c r="B16" s="6">
        <v>1.75</v>
      </c>
      <c r="C16" s="6">
        <v>2</v>
      </c>
      <c r="D16" s="6">
        <v>1</v>
      </c>
      <c r="F16" s="5">
        <v>1</v>
      </c>
      <c r="G16" s="7">
        <f t="shared" si="9"/>
        <v>1.75</v>
      </c>
      <c r="H16" s="7">
        <f t="shared" si="4"/>
        <v>2</v>
      </c>
      <c r="I16" s="7">
        <f t="shared" si="5"/>
        <v>1</v>
      </c>
      <c r="L16" s="7">
        <f t="shared" si="6"/>
        <v>0</v>
      </c>
      <c r="M16" s="7">
        <f t="shared" si="0"/>
        <v>0</v>
      </c>
      <c r="N16" s="7">
        <f t="shared" si="1"/>
        <v>0</v>
      </c>
      <c r="Q16" s="5">
        <f t="shared" si="7"/>
        <v>1</v>
      </c>
      <c r="R16" s="7">
        <f t="shared" si="8"/>
        <v>1.75</v>
      </c>
      <c r="S16" s="7">
        <f t="shared" si="2"/>
        <v>2</v>
      </c>
      <c r="T16" s="7">
        <f t="shared" si="3"/>
        <v>1</v>
      </c>
    </row>
    <row r="17" spans="1:20" x14ac:dyDescent="0.25">
      <c r="A17" s="4" t="s">
        <v>10</v>
      </c>
      <c r="B17" s="6">
        <v>2</v>
      </c>
      <c r="C17" s="6">
        <v>1</v>
      </c>
      <c r="D17" s="6">
        <v>3</v>
      </c>
      <c r="F17" s="5">
        <v>1</v>
      </c>
      <c r="G17" s="7">
        <f t="shared" si="9"/>
        <v>2</v>
      </c>
      <c r="H17" s="7">
        <f t="shared" si="4"/>
        <v>1</v>
      </c>
      <c r="I17" s="7">
        <f t="shared" si="5"/>
        <v>3</v>
      </c>
      <c r="K17">
        <v>2</v>
      </c>
      <c r="L17" s="7">
        <f t="shared" si="6"/>
        <v>4</v>
      </c>
      <c r="M17" s="7">
        <f t="shared" si="0"/>
        <v>2</v>
      </c>
      <c r="N17" s="7">
        <f t="shared" si="1"/>
        <v>6</v>
      </c>
      <c r="Q17" s="5">
        <f t="shared" si="7"/>
        <v>3</v>
      </c>
      <c r="R17" s="7">
        <f t="shared" si="8"/>
        <v>6</v>
      </c>
      <c r="S17" s="7">
        <f t="shared" si="2"/>
        <v>3</v>
      </c>
      <c r="T17" s="7">
        <f t="shared" si="3"/>
        <v>9</v>
      </c>
    </row>
    <row r="18" spans="1:20" x14ac:dyDescent="0.25">
      <c r="G18" s="1" t="s">
        <v>18</v>
      </c>
      <c r="H18" s="1" t="s">
        <v>16</v>
      </c>
      <c r="I18" s="1" t="s">
        <v>17</v>
      </c>
      <c r="L18" s="1" t="s">
        <v>18</v>
      </c>
      <c r="M18" s="1" t="s">
        <v>16</v>
      </c>
      <c r="N18" s="1" t="s">
        <v>17</v>
      </c>
      <c r="R18" s="1" t="s">
        <v>18</v>
      </c>
      <c r="S18" s="1" t="s">
        <v>16</v>
      </c>
      <c r="T18" s="1" t="s">
        <v>17</v>
      </c>
    </row>
    <row r="19" spans="1:20" x14ac:dyDescent="0.25">
      <c r="A19" s="1"/>
      <c r="B19" s="3"/>
      <c r="F19" s="8" t="s">
        <v>20</v>
      </c>
      <c r="G19" s="9">
        <f>SUM(G3:G17)</f>
        <v>91.7</v>
      </c>
      <c r="H19" s="9">
        <f>SUM(H3:H17)</f>
        <v>92.85</v>
      </c>
      <c r="I19" s="9">
        <f>SUM(I3:I17)</f>
        <v>126.6</v>
      </c>
      <c r="K19" s="8" t="s">
        <v>20</v>
      </c>
      <c r="L19" s="9">
        <f>SUM(L3:L17)</f>
        <v>77.149999999999991</v>
      </c>
      <c r="M19" s="9">
        <f>SUM(M3:M17)</f>
        <v>74.749999999999986</v>
      </c>
      <c r="N19" s="9">
        <f>SUM(N3:N17)</f>
        <v>110.6</v>
      </c>
      <c r="Q19" s="8" t="s">
        <v>20</v>
      </c>
      <c r="R19" s="9">
        <f>SUM(R3:R17)</f>
        <v>168.84999999999997</v>
      </c>
      <c r="S19" s="9">
        <f>SUM(S3:S17)</f>
        <v>167.6</v>
      </c>
      <c r="T19" s="9">
        <f>SUM(T3:T17)</f>
        <v>237.20000000000002</v>
      </c>
    </row>
    <row r="20" spans="1:20" x14ac:dyDescent="0.25">
      <c r="A20" s="4"/>
      <c r="B20" s="2"/>
    </row>
    <row r="21" spans="1:20" x14ac:dyDescent="0.25">
      <c r="A21" s="4"/>
      <c r="B21" s="2"/>
    </row>
    <row r="22" spans="1:20" x14ac:dyDescent="0.25">
      <c r="A22" s="4"/>
      <c r="B22" s="2"/>
    </row>
    <row r="23" spans="1:20" x14ac:dyDescent="0.25">
      <c r="A23" s="4"/>
      <c r="B23" s="2"/>
    </row>
    <row r="24" spans="1:20" x14ac:dyDescent="0.25">
      <c r="A24" s="4"/>
      <c r="B24" s="2"/>
    </row>
    <row r="25" spans="1:20" x14ac:dyDescent="0.25">
      <c r="A25" s="4"/>
      <c r="B25" s="2"/>
    </row>
    <row r="26" spans="1:20" x14ac:dyDescent="0.25">
      <c r="A26" s="4"/>
      <c r="B26" s="2"/>
    </row>
    <row r="27" spans="1:20" x14ac:dyDescent="0.25">
      <c r="A27" s="4"/>
      <c r="B27" s="2"/>
    </row>
    <row r="28" spans="1:20" x14ac:dyDescent="0.25">
      <c r="A28" s="4"/>
      <c r="B28" s="2"/>
    </row>
    <row r="29" spans="1:20" x14ac:dyDescent="0.25">
      <c r="A29" s="4"/>
      <c r="B29" s="2"/>
    </row>
    <row r="30" spans="1:20" x14ac:dyDescent="0.25">
      <c r="A30" s="4"/>
      <c r="B30" s="2"/>
    </row>
    <row r="31" spans="1:20" x14ac:dyDescent="0.25">
      <c r="A31" s="4"/>
      <c r="B31" s="2"/>
    </row>
    <row r="32" spans="1:20" x14ac:dyDescent="0.25">
      <c r="A32" s="4"/>
      <c r="B32" s="2"/>
    </row>
    <row r="33" spans="1:2" x14ac:dyDescent="0.25">
      <c r="A33" s="4"/>
      <c r="B33" s="2"/>
    </row>
    <row r="34" spans="1:2" x14ac:dyDescent="0.25">
      <c r="A34" s="4"/>
      <c r="B34" s="2"/>
    </row>
  </sheetData>
  <conditionalFormatting sqref="G19:I19">
    <cfRule type="top10" dxfId="4" priority="18" bottom="1" rank="1"/>
    <cfRule type="top10" priority="19" bottom="1" rank="1"/>
  </conditionalFormatting>
  <conditionalFormatting sqref="L19:N19">
    <cfRule type="top10" dxfId="3" priority="16" bottom="1" rank="1"/>
    <cfRule type="top10" priority="17" bottom="1" rank="1"/>
  </conditionalFormatting>
  <conditionalFormatting sqref="R19:T19">
    <cfRule type="top10" dxfId="2" priority="14" bottom="1" rank="1"/>
    <cfRule type="top10" priority="15" bottom="1" rank="1"/>
  </conditionalFormatting>
  <conditionalFormatting sqref="B3:D17">
    <cfRule type="expression" dxfId="0" priority="1">
      <formula>B3=MIN($B3:$D3)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F437-D0EC-4000-BE01-0D078D7ED60A}">
  <dimension ref="A1:C19"/>
  <sheetViews>
    <sheetView workbookViewId="0">
      <selection activeCell="N20" sqref="N20"/>
    </sheetView>
  </sheetViews>
  <sheetFormatPr defaultRowHeight="15" x14ac:dyDescent="0.25"/>
  <cols>
    <col min="1" max="1" width="27.140625" customWidth="1"/>
    <col min="2" max="3" width="15.7109375" style="7" customWidth="1"/>
  </cols>
  <sheetData>
    <row r="1" spans="1:3" ht="19.5" x14ac:dyDescent="0.3">
      <c r="B1" s="16" t="s">
        <v>24</v>
      </c>
      <c r="C1" s="16" t="s">
        <v>23</v>
      </c>
    </row>
    <row r="2" spans="1:3" x14ac:dyDescent="0.25">
      <c r="A2" s="13" t="s">
        <v>25</v>
      </c>
    </row>
    <row r="3" spans="1:3" x14ac:dyDescent="0.25">
      <c r="A3" t="s">
        <v>26</v>
      </c>
      <c r="B3" s="7">
        <v>50</v>
      </c>
      <c r="C3" s="7">
        <v>90</v>
      </c>
    </row>
    <row r="4" spans="1:3" x14ac:dyDescent="0.25">
      <c r="A4" t="s">
        <v>27</v>
      </c>
      <c r="B4" s="7">
        <v>2</v>
      </c>
      <c r="C4" s="7">
        <v>2.5</v>
      </c>
    </row>
    <row r="5" spans="1:3" x14ac:dyDescent="0.25">
      <c r="A5" t="s">
        <v>28</v>
      </c>
      <c r="B5" s="7">
        <v>4.5</v>
      </c>
      <c r="C5" s="7">
        <v>5.5</v>
      </c>
    </row>
    <row r="6" spans="1:3" x14ac:dyDescent="0.25">
      <c r="A6" t="s">
        <v>29</v>
      </c>
      <c r="B6" s="7">
        <v>7</v>
      </c>
      <c r="C6" s="7">
        <v>7</v>
      </c>
    </row>
    <row r="7" spans="1:3" x14ac:dyDescent="0.25">
      <c r="A7" t="s">
        <v>30</v>
      </c>
      <c r="B7" s="7">
        <v>0</v>
      </c>
      <c r="C7" s="7">
        <v>3</v>
      </c>
    </row>
    <row r="8" spans="1:3" x14ac:dyDescent="0.25">
      <c r="A8" s="17" t="s">
        <v>31</v>
      </c>
      <c r="B8" s="18">
        <f>SUM(B3:B7)</f>
        <v>63.5</v>
      </c>
      <c r="C8" s="18">
        <f>SUM(C3:C7)</f>
        <v>108</v>
      </c>
    </row>
    <row r="10" spans="1:3" x14ac:dyDescent="0.25">
      <c r="A10" s="13" t="s">
        <v>32</v>
      </c>
    </row>
    <row r="11" spans="1:3" x14ac:dyDescent="0.25">
      <c r="A11" t="s">
        <v>33</v>
      </c>
      <c r="B11" s="7">
        <f>11*2</f>
        <v>22</v>
      </c>
      <c r="C11" s="7">
        <f>21*2</f>
        <v>42</v>
      </c>
    </row>
    <row r="12" spans="1:3" x14ac:dyDescent="0.25">
      <c r="A12" t="s">
        <v>34</v>
      </c>
      <c r="B12" s="7">
        <f>8*2</f>
        <v>16</v>
      </c>
      <c r="C12" s="7">
        <v>0</v>
      </c>
    </row>
    <row r="13" spans="1:3" x14ac:dyDescent="0.25">
      <c r="A13" t="s">
        <v>35</v>
      </c>
      <c r="B13" s="7">
        <v>0</v>
      </c>
      <c r="C13" s="7">
        <f>3*2</f>
        <v>6</v>
      </c>
    </row>
    <row r="14" spans="1:3" x14ac:dyDescent="0.25">
      <c r="A14" t="s">
        <v>36</v>
      </c>
      <c r="B14" s="14">
        <f>SUM(B11:B13)</f>
        <v>38</v>
      </c>
      <c r="C14" s="14">
        <f>SUM(C11:C13)</f>
        <v>48</v>
      </c>
    </row>
    <row r="15" spans="1:3" x14ac:dyDescent="0.25">
      <c r="A15" s="17" t="s">
        <v>37</v>
      </c>
      <c r="B15" s="18">
        <f>B14*12</f>
        <v>456</v>
      </c>
      <c r="C15" s="18">
        <f>C14*12</f>
        <v>576</v>
      </c>
    </row>
    <row r="17" spans="1:3" x14ac:dyDescent="0.25">
      <c r="B17" s="7" t="s">
        <v>24</v>
      </c>
      <c r="C17" s="7" t="s">
        <v>23</v>
      </c>
    </row>
    <row r="18" spans="1:3" ht="15.75" thickBot="1" x14ac:dyDescent="0.3">
      <c r="A18" s="20" t="s">
        <v>38</v>
      </c>
      <c r="B18" s="21">
        <f>B8+B15</f>
        <v>519.5</v>
      </c>
      <c r="C18" s="21">
        <f>C8+C15</f>
        <v>684</v>
      </c>
    </row>
    <row r="19" spans="1:3" ht="15.75" thickTop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E45E-8BC6-4707-A2B4-AF19BD175149}">
  <dimension ref="A1:F39"/>
  <sheetViews>
    <sheetView tabSelected="1" workbookViewId="0">
      <selection activeCell="J32" sqref="J32"/>
    </sheetView>
  </sheetViews>
  <sheetFormatPr defaultRowHeight="15" x14ac:dyDescent="0.25"/>
  <cols>
    <col min="1" max="1" width="36.7109375" customWidth="1"/>
    <col min="2" max="4" width="21.140625" style="7" customWidth="1"/>
  </cols>
  <sheetData>
    <row r="1" spans="1:4" x14ac:dyDescent="0.25">
      <c r="B1" s="15" t="s">
        <v>39</v>
      </c>
      <c r="C1" s="15" t="s">
        <v>40</v>
      </c>
      <c r="D1" s="15" t="s">
        <v>41</v>
      </c>
    </row>
    <row r="3" spans="1:4" x14ac:dyDescent="0.25">
      <c r="A3" s="12" t="s">
        <v>57</v>
      </c>
    </row>
    <row r="4" spans="1:4" x14ac:dyDescent="0.25">
      <c r="A4" t="s">
        <v>42</v>
      </c>
      <c r="B4" s="7">
        <v>280</v>
      </c>
      <c r="C4" s="7">
        <v>100</v>
      </c>
      <c r="D4" s="7">
        <v>350</v>
      </c>
    </row>
    <row r="5" spans="1:4" x14ac:dyDescent="0.25">
      <c r="A5" t="s">
        <v>43</v>
      </c>
      <c r="B5" s="7">
        <v>18</v>
      </c>
      <c r="C5" s="7">
        <v>0</v>
      </c>
      <c r="D5" s="7">
        <v>0</v>
      </c>
    </row>
    <row r="6" spans="1:4" x14ac:dyDescent="0.25">
      <c r="A6" t="s">
        <v>44</v>
      </c>
      <c r="B6" s="7">
        <v>25</v>
      </c>
      <c r="C6" s="7">
        <v>0</v>
      </c>
      <c r="D6" s="7">
        <v>0</v>
      </c>
    </row>
    <row r="7" spans="1:4" x14ac:dyDescent="0.25">
      <c r="A7" t="s">
        <v>45</v>
      </c>
      <c r="B7" s="7">
        <v>15</v>
      </c>
      <c r="C7" s="7">
        <v>0</v>
      </c>
      <c r="D7" s="7">
        <v>0</v>
      </c>
    </row>
    <row r="8" spans="1:4" x14ac:dyDescent="0.25">
      <c r="A8" t="s">
        <v>46</v>
      </c>
      <c r="B8" s="7">
        <v>9</v>
      </c>
      <c r="C8" s="7">
        <v>0</v>
      </c>
      <c r="D8" s="7">
        <v>0</v>
      </c>
    </row>
    <row r="9" spans="1:4" x14ac:dyDescent="0.25">
      <c r="A9" t="s">
        <v>47</v>
      </c>
      <c r="B9" s="7">
        <v>0</v>
      </c>
      <c r="C9" s="7">
        <v>99</v>
      </c>
      <c r="D9" s="7">
        <v>0</v>
      </c>
    </row>
    <row r="10" spans="1:4" x14ac:dyDescent="0.25">
      <c r="A10" t="s">
        <v>48</v>
      </c>
      <c r="B10" s="7">
        <v>0</v>
      </c>
      <c r="C10" s="7">
        <v>95</v>
      </c>
      <c r="D10" s="7">
        <v>0</v>
      </c>
    </row>
    <row r="11" spans="1:4" x14ac:dyDescent="0.25">
      <c r="A11" t="s">
        <v>49</v>
      </c>
      <c r="B11" s="7">
        <v>0</v>
      </c>
      <c r="C11" s="7">
        <v>85</v>
      </c>
      <c r="D11" s="7">
        <v>0</v>
      </c>
    </row>
    <row r="12" spans="1:4" x14ac:dyDescent="0.25">
      <c r="A12" t="s">
        <v>50</v>
      </c>
      <c r="B12" s="7">
        <v>0</v>
      </c>
      <c r="C12" s="7">
        <v>85</v>
      </c>
      <c r="D12" s="7">
        <v>0</v>
      </c>
    </row>
    <row r="13" spans="1:4" x14ac:dyDescent="0.25">
      <c r="A13" t="s">
        <v>56</v>
      </c>
      <c r="B13" s="7">
        <v>0</v>
      </c>
      <c r="C13" s="7">
        <v>0</v>
      </c>
      <c r="D13" s="7">
        <v>555</v>
      </c>
    </row>
    <row r="15" spans="1:4" x14ac:dyDescent="0.25">
      <c r="A15" t="s">
        <v>51</v>
      </c>
      <c r="B15" s="7">
        <f>SUM(B4:B13)</f>
        <v>347</v>
      </c>
      <c r="C15" s="7">
        <f t="shared" ref="C15:D15" si="0">SUM(C4:C13)</f>
        <v>464</v>
      </c>
      <c r="D15" s="7">
        <f t="shared" si="0"/>
        <v>905</v>
      </c>
    </row>
    <row r="16" spans="1:4" x14ac:dyDescent="0.25">
      <c r="A16" s="26" t="s">
        <v>85</v>
      </c>
      <c r="B16" s="27">
        <v>2</v>
      </c>
      <c r="C16" s="27">
        <v>2</v>
      </c>
      <c r="D16" s="27">
        <v>2</v>
      </c>
    </row>
    <row r="17" spans="1:6" x14ac:dyDescent="0.25">
      <c r="A17" s="24" t="s">
        <v>64</v>
      </c>
      <c r="B17" s="14">
        <f>B15*B16</f>
        <v>694</v>
      </c>
      <c r="C17" s="14">
        <f t="shared" ref="C17:D17" si="1">C15*C16</f>
        <v>928</v>
      </c>
      <c r="D17" s="14">
        <f t="shared" si="1"/>
        <v>1810</v>
      </c>
    </row>
    <row r="20" spans="1:6" x14ac:dyDescent="0.25">
      <c r="A20" s="12" t="s">
        <v>52</v>
      </c>
    </row>
    <row r="21" spans="1:6" x14ac:dyDescent="0.25">
      <c r="A21" t="s">
        <v>53</v>
      </c>
      <c r="B21" s="7">
        <v>120</v>
      </c>
      <c r="C21" s="7">
        <v>105</v>
      </c>
      <c r="D21" s="7">
        <v>0</v>
      </c>
    </row>
    <row r="22" spans="1:6" x14ac:dyDescent="0.25">
      <c r="A22" t="s">
        <v>54</v>
      </c>
      <c r="B22" s="5">
        <v>5</v>
      </c>
      <c r="C22" s="5">
        <v>5</v>
      </c>
      <c r="D22" s="5">
        <v>5</v>
      </c>
    </row>
    <row r="23" spans="1:6" x14ac:dyDescent="0.25">
      <c r="A23" s="24" t="s">
        <v>55</v>
      </c>
      <c r="B23" s="14">
        <f>B21*B22</f>
        <v>600</v>
      </c>
      <c r="C23" s="14">
        <f t="shared" ref="C23:D23" si="2">C21*C22</f>
        <v>525</v>
      </c>
      <c r="D23" s="14">
        <f t="shared" si="2"/>
        <v>0</v>
      </c>
    </row>
    <row r="24" spans="1:6" x14ac:dyDescent="0.25">
      <c r="F24" s="52" t="s">
        <v>84</v>
      </c>
    </row>
    <row r="26" spans="1:6" x14ac:dyDescent="0.25">
      <c r="A26" s="12" t="s">
        <v>58</v>
      </c>
    </row>
    <row r="27" spans="1:6" x14ac:dyDescent="0.25">
      <c r="A27" t="s">
        <v>59</v>
      </c>
      <c r="B27" s="7">
        <v>40</v>
      </c>
      <c r="C27" s="7">
        <v>0</v>
      </c>
      <c r="D27" s="7">
        <v>0</v>
      </c>
    </row>
    <row r="28" spans="1:6" x14ac:dyDescent="0.25">
      <c r="A28" t="s">
        <v>60</v>
      </c>
      <c r="B28" s="5">
        <v>4</v>
      </c>
      <c r="C28" s="5">
        <v>4</v>
      </c>
      <c r="D28" s="5">
        <v>4</v>
      </c>
    </row>
    <row r="29" spans="1:6" x14ac:dyDescent="0.25">
      <c r="A29" s="24" t="s">
        <v>61</v>
      </c>
      <c r="B29" s="14">
        <f>B27*B28</f>
        <v>160</v>
      </c>
      <c r="C29" s="14">
        <f t="shared" ref="C29" si="3">C27*C28</f>
        <v>0</v>
      </c>
      <c r="D29" s="14">
        <f t="shared" ref="D29" si="4">D27*D28</f>
        <v>0</v>
      </c>
    </row>
    <row r="32" spans="1:6" x14ac:dyDescent="0.25">
      <c r="A32" s="12" t="s">
        <v>62</v>
      </c>
    </row>
    <row r="33" spans="1:4" x14ac:dyDescent="0.25">
      <c r="A33" t="s">
        <v>63</v>
      </c>
      <c r="B33" s="7">
        <v>50</v>
      </c>
      <c r="C33" s="7">
        <v>50</v>
      </c>
      <c r="D33" s="7">
        <v>0</v>
      </c>
    </row>
    <row r="34" spans="1:4" x14ac:dyDescent="0.25">
      <c r="A34" s="26" t="s">
        <v>85</v>
      </c>
      <c r="B34" s="27">
        <v>2</v>
      </c>
      <c r="C34" s="27">
        <v>2</v>
      </c>
      <c r="D34" s="27">
        <v>2</v>
      </c>
    </row>
    <row r="35" spans="1:4" x14ac:dyDescent="0.25">
      <c r="A35" t="s">
        <v>60</v>
      </c>
      <c r="B35" s="5">
        <v>5</v>
      </c>
      <c r="C35" s="5">
        <v>5</v>
      </c>
      <c r="D35" s="5">
        <v>5</v>
      </c>
    </row>
    <row r="36" spans="1:4" x14ac:dyDescent="0.25">
      <c r="A36" s="24" t="s">
        <v>65</v>
      </c>
      <c r="B36" s="14">
        <f>B33*B34*B35</f>
        <v>500</v>
      </c>
      <c r="C36" s="14">
        <f t="shared" ref="C36:D36" si="5">C33*C34*C35</f>
        <v>500</v>
      </c>
      <c r="D36" s="14">
        <f t="shared" si="5"/>
        <v>0</v>
      </c>
    </row>
    <row r="38" spans="1:4" x14ac:dyDescent="0.25">
      <c r="B38" s="15" t="s">
        <v>39</v>
      </c>
      <c r="C38" s="15" t="s">
        <v>40</v>
      </c>
      <c r="D38" s="15" t="s">
        <v>41</v>
      </c>
    </row>
    <row r="39" spans="1:4" x14ac:dyDescent="0.25">
      <c r="A39" s="20" t="s">
        <v>66</v>
      </c>
      <c r="B39" s="25">
        <f>B17+B23+B29+B36</f>
        <v>1954</v>
      </c>
      <c r="C39" s="25">
        <f t="shared" ref="C39:D39" si="6">C17+C23+C29+C36</f>
        <v>1953</v>
      </c>
      <c r="D39" s="25">
        <f t="shared" si="6"/>
        <v>1810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EB58-49DD-4384-ABE9-4097ED7DC2ED}">
  <dimension ref="A1:I20"/>
  <sheetViews>
    <sheetView workbookViewId="0">
      <selection activeCell="L20" sqref="L20"/>
    </sheetView>
  </sheetViews>
  <sheetFormatPr defaultRowHeight="15" x14ac:dyDescent="0.25"/>
  <cols>
    <col min="1" max="1" width="28.140625" customWidth="1"/>
    <col min="2" max="4" width="18.42578125" style="7" customWidth="1"/>
    <col min="5" max="5" width="9.28515625" style="41" customWidth="1"/>
    <col min="6" max="6" width="28.140625" customWidth="1"/>
    <col min="7" max="9" width="18.42578125" customWidth="1"/>
  </cols>
  <sheetData>
    <row r="1" spans="1:9" x14ac:dyDescent="0.25">
      <c r="B1" s="8" t="s">
        <v>70</v>
      </c>
      <c r="G1" s="8" t="s">
        <v>83</v>
      </c>
      <c r="H1" s="7"/>
      <c r="I1" s="7"/>
    </row>
    <row r="2" spans="1:9" x14ac:dyDescent="0.25">
      <c r="B2" s="28" t="s">
        <v>67</v>
      </c>
      <c r="C2" s="28" t="s">
        <v>81</v>
      </c>
      <c r="D2" s="28" t="s">
        <v>68</v>
      </c>
      <c r="E2" s="42"/>
      <c r="G2" s="28" t="s">
        <v>67</v>
      </c>
      <c r="H2" s="28" t="s">
        <v>81</v>
      </c>
      <c r="I2" s="28" t="s">
        <v>68</v>
      </c>
    </row>
    <row r="3" spans="1:9" x14ac:dyDescent="0.25">
      <c r="A3" s="17" t="s">
        <v>69</v>
      </c>
      <c r="B3" s="34">
        <v>29</v>
      </c>
      <c r="C3" s="34">
        <v>149</v>
      </c>
      <c r="D3" s="34">
        <v>549</v>
      </c>
      <c r="E3" s="43"/>
      <c r="F3" s="48" t="s">
        <v>69</v>
      </c>
      <c r="G3" s="39">
        <v>29</v>
      </c>
      <c r="H3" s="39">
        <v>149</v>
      </c>
      <c r="I3" s="39">
        <v>549</v>
      </c>
    </row>
    <row r="4" spans="1:9" x14ac:dyDescent="0.25">
      <c r="G4" s="7"/>
      <c r="H4" s="7"/>
      <c r="I4" s="7"/>
    </row>
    <row r="5" spans="1:9" x14ac:dyDescent="0.25">
      <c r="A5" t="s">
        <v>71</v>
      </c>
      <c r="B5" s="7">
        <v>40</v>
      </c>
      <c r="C5" s="7">
        <v>90</v>
      </c>
      <c r="D5" s="7">
        <v>370</v>
      </c>
      <c r="F5" t="s">
        <v>71</v>
      </c>
      <c r="G5" s="7">
        <v>40</v>
      </c>
      <c r="H5" s="7">
        <v>90</v>
      </c>
      <c r="I5" s="7">
        <v>370</v>
      </c>
    </row>
    <row r="6" spans="1:9" x14ac:dyDescent="0.25">
      <c r="A6" t="s">
        <v>72</v>
      </c>
      <c r="B6" s="29">
        <v>200</v>
      </c>
      <c r="C6" s="29">
        <v>1000</v>
      </c>
      <c r="D6" s="29">
        <v>11000</v>
      </c>
      <c r="E6" s="44"/>
      <c r="F6" t="s">
        <v>72</v>
      </c>
      <c r="G6" s="29">
        <v>200</v>
      </c>
      <c r="H6" s="29">
        <v>1000</v>
      </c>
      <c r="I6" s="29">
        <v>11000</v>
      </c>
    </row>
    <row r="7" spans="1:9" x14ac:dyDescent="0.25">
      <c r="A7" s="31" t="s">
        <v>73</v>
      </c>
      <c r="B7" s="32">
        <f>B5/B6</f>
        <v>0.2</v>
      </c>
      <c r="C7" s="32">
        <f t="shared" ref="C7:D7" si="0">C5/C6</f>
        <v>0.09</v>
      </c>
      <c r="D7" s="32">
        <f t="shared" si="0"/>
        <v>3.3636363636363638E-2</v>
      </c>
      <c r="E7" s="37"/>
      <c r="F7" s="31" t="s">
        <v>73</v>
      </c>
      <c r="G7" s="32">
        <f>G5/G6</f>
        <v>0.2</v>
      </c>
      <c r="H7" s="32">
        <f t="shared" ref="H7" si="1">H5/H6</f>
        <v>0.09</v>
      </c>
      <c r="I7" s="32">
        <f t="shared" ref="I7" si="2">I5/I6</f>
        <v>3.3636363636363638E-2</v>
      </c>
    </row>
    <row r="8" spans="1:9" x14ac:dyDescent="0.25">
      <c r="G8" s="7"/>
      <c r="H8" s="7"/>
      <c r="I8" s="7"/>
    </row>
    <row r="9" spans="1:9" x14ac:dyDescent="0.25">
      <c r="A9" t="s">
        <v>74</v>
      </c>
      <c r="B9" s="5">
        <v>15</v>
      </c>
      <c r="C9" s="5">
        <v>15</v>
      </c>
      <c r="D9" s="5">
        <v>15</v>
      </c>
      <c r="E9" s="45"/>
      <c r="F9" t="s">
        <v>74</v>
      </c>
      <c r="G9" s="5">
        <v>500</v>
      </c>
      <c r="H9" s="5">
        <v>500</v>
      </c>
      <c r="I9" s="5">
        <v>500</v>
      </c>
    </row>
    <row r="10" spans="1:9" x14ac:dyDescent="0.25">
      <c r="A10" t="s">
        <v>75</v>
      </c>
      <c r="B10" s="5">
        <v>5</v>
      </c>
      <c r="C10" s="5">
        <v>5</v>
      </c>
      <c r="D10" s="5">
        <v>5</v>
      </c>
      <c r="E10" s="45"/>
      <c r="F10" t="s">
        <v>75</v>
      </c>
      <c r="G10" s="5">
        <v>5</v>
      </c>
      <c r="H10" s="5">
        <v>5</v>
      </c>
      <c r="I10" s="5">
        <v>5</v>
      </c>
    </row>
    <row r="11" spans="1:9" x14ac:dyDescent="0.25">
      <c r="A11" t="s">
        <v>76</v>
      </c>
      <c r="B11" s="5">
        <v>50</v>
      </c>
      <c r="C11" s="5">
        <v>50</v>
      </c>
      <c r="D11" s="5">
        <v>50</v>
      </c>
      <c r="E11" s="45"/>
      <c r="F11" t="s">
        <v>76</v>
      </c>
      <c r="G11" s="5">
        <v>50</v>
      </c>
      <c r="H11" s="5">
        <v>50</v>
      </c>
      <c r="I11" s="5">
        <v>50</v>
      </c>
    </row>
    <row r="12" spans="1:9" x14ac:dyDescent="0.25">
      <c r="A12" s="8" t="s">
        <v>77</v>
      </c>
      <c r="B12" s="30">
        <f>B9*B10*B11</f>
        <v>3750</v>
      </c>
      <c r="C12" s="30">
        <f t="shared" ref="C12:D12" si="3">C9*C10*C11</f>
        <v>3750</v>
      </c>
      <c r="D12" s="30">
        <f t="shared" si="3"/>
        <v>3750</v>
      </c>
      <c r="E12" s="46"/>
      <c r="F12" s="8" t="s">
        <v>77</v>
      </c>
      <c r="G12" s="30">
        <f>G9*G10*G11</f>
        <v>125000</v>
      </c>
      <c r="H12" s="30">
        <f t="shared" ref="H12" si="4">H9*H10*H11</f>
        <v>125000</v>
      </c>
      <c r="I12" s="30">
        <f t="shared" ref="I12" si="5">I9*I10*I11</f>
        <v>125000</v>
      </c>
    </row>
    <row r="13" spans="1:9" x14ac:dyDescent="0.25">
      <c r="A13" s="8"/>
      <c r="B13" s="30"/>
      <c r="C13" s="30"/>
      <c r="D13" s="30"/>
      <c r="E13" s="46"/>
      <c r="F13" s="8"/>
      <c r="G13" s="30"/>
      <c r="H13" s="30"/>
      <c r="I13" s="30"/>
    </row>
    <row r="14" spans="1:9" x14ac:dyDescent="0.25">
      <c r="A14" s="36" t="s">
        <v>82</v>
      </c>
      <c r="B14" s="37">
        <f>B7*B12</f>
        <v>750</v>
      </c>
      <c r="C14" s="37">
        <f t="shared" ref="C14:D14" si="6">C7*C12</f>
        <v>337.5</v>
      </c>
      <c r="D14" s="37">
        <f t="shared" si="6"/>
        <v>126.13636363636364</v>
      </c>
      <c r="E14" s="37"/>
      <c r="F14" s="36" t="s">
        <v>82</v>
      </c>
      <c r="G14" s="37">
        <f>G7*G12</f>
        <v>25000</v>
      </c>
      <c r="H14" s="37">
        <f t="shared" ref="H14:I14" si="7">H7*H12</f>
        <v>11250</v>
      </c>
      <c r="I14" s="37">
        <f t="shared" si="7"/>
        <v>4204.545454545455</v>
      </c>
    </row>
    <row r="15" spans="1:9" x14ac:dyDescent="0.25">
      <c r="A15" s="19" t="s">
        <v>78</v>
      </c>
      <c r="B15" s="33">
        <v>2</v>
      </c>
      <c r="C15" s="33">
        <v>2</v>
      </c>
      <c r="D15" s="33">
        <v>2</v>
      </c>
      <c r="E15" s="47"/>
      <c r="F15" s="19" t="s">
        <v>78</v>
      </c>
      <c r="G15" s="33">
        <v>2</v>
      </c>
      <c r="H15" s="33">
        <v>2</v>
      </c>
      <c r="I15" s="33">
        <v>2</v>
      </c>
    </row>
    <row r="16" spans="1:9" x14ac:dyDescent="0.25">
      <c r="A16" s="35" t="s">
        <v>79</v>
      </c>
      <c r="B16" s="18">
        <f>B14*B15</f>
        <v>1500</v>
      </c>
      <c r="C16" s="18">
        <f t="shared" ref="C16:D16" si="8">C14*C15</f>
        <v>675</v>
      </c>
      <c r="D16" s="18">
        <f t="shared" si="8"/>
        <v>252.27272727272728</v>
      </c>
      <c r="E16" s="37"/>
      <c r="F16" s="49" t="s">
        <v>79</v>
      </c>
      <c r="G16" s="40">
        <f>G14*G15</f>
        <v>50000</v>
      </c>
      <c r="H16" s="40">
        <f t="shared" ref="H16" si="9">H14*H15</f>
        <v>22500</v>
      </c>
      <c r="I16" s="40">
        <f t="shared" ref="I16" si="10">I14*I15</f>
        <v>8409.0909090909099</v>
      </c>
    </row>
    <row r="17" spans="1:9" x14ac:dyDescent="0.25">
      <c r="A17" s="31"/>
      <c r="B17" s="32"/>
      <c r="C17" s="32"/>
      <c r="D17" s="32"/>
      <c r="E17" s="37"/>
    </row>
    <row r="18" spans="1:9" x14ac:dyDescent="0.25">
      <c r="B18" s="28" t="s">
        <v>67</v>
      </c>
      <c r="C18" s="28" t="s">
        <v>81</v>
      </c>
      <c r="D18" s="28" t="s">
        <v>68</v>
      </c>
      <c r="E18" s="42"/>
      <c r="G18" s="28" t="s">
        <v>67</v>
      </c>
      <c r="H18" s="28" t="s">
        <v>81</v>
      </c>
      <c r="I18" s="28" t="s">
        <v>68</v>
      </c>
    </row>
    <row r="19" spans="1:9" ht="15.75" thickBot="1" x14ac:dyDescent="0.3">
      <c r="A19" s="38" t="s">
        <v>80</v>
      </c>
      <c r="B19" s="21">
        <f>B3+B16</f>
        <v>1529</v>
      </c>
      <c r="C19" s="21">
        <f t="shared" ref="C19:D19" si="11">C3+C16</f>
        <v>824</v>
      </c>
      <c r="D19" s="21">
        <f t="shared" si="11"/>
        <v>801.27272727272725</v>
      </c>
      <c r="E19" s="37"/>
      <c r="F19" s="50" t="s">
        <v>80</v>
      </c>
      <c r="G19" s="51">
        <f>G3+G16</f>
        <v>50029</v>
      </c>
      <c r="H19" s="51">
        <f t="shared" ref="H19:I19" si="12">H3+H16</f>
        <v>22649</v>
      </c>
      <c r="I19" s="51">
        <f>I3+I16</f>
        <v>8958.0909090909099</v>
      </c>
    </row>
    <row r="20" spans="1:9" ht="15.75" thickTop="1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A7FA-BDB3-40EF-85DE-FDE13D7A8AD6}">
  <dimension ref="A1:D31"/>
  <sheetViews>
    <sheetView workbookViewId="0">
      <selection activeCell="K12" sqref="K12"/>
    </sheetView>
  </sheetViews>
  <sheetFormatPr defaultRowHeight="15" x14ac:dyDescent="0.25"/>
  <cols>
    <col min="1" max="1" width="36.7109375" customWidth="1"/>
    <col min="2" max="4" width="18.42578125" style="7" customWidth="1"/>
  </cols>
  <sheetData>
    <row r="1" spans="1:4" x14ac:dyDescent="0.25">
      <c r="A1" s="8" t="s">
        <v>89</v>
      </c>
      <c r="B1" s="22" t="s">
        <v>86</v>
      </c>
      <c r="C1" s="22" t="s">
        <v>87</v>
      </c>
      <c r="D1" s="22" t="s">
        <v>88</v>
      </c>
    </row>
    <row r="2" spans="1:4" x14ac:dyDescent="0.25">
      <c r="A2" s="8"/>
      <c r="B2" s="23"/>
      <c r="C2" s="23"/>
      <c r="D2" s="23"/>
    </row>
    <row r="3" spans="1:4" x14ac:dyDescent="0.25">
      <c r="A3" s="12" t="s">
        <v>91</v>
      </c>
    </row>
    <row r="4" spans="1:4" x14ac:dyDescent="0.25">
      <c r="A4" t="s">
        <v>90</v>
      </c>
      <c r="B4" s="7">
        <v>14500</v>
      </c>
      <c r="C4" s="7">
        <v>31000</v>
      </c>
      <c r="D4" s="7">
        <v>72000</v>
      </c>
    </row>
    <row r="5" spans="1:4" x14ac:dyDescent="0.25">
      <c r="A5" t="s">
        <v>92</v>
      </c>
      <c r="B5" s="7">
        <v>1450</v>
      </c>
      <c r="C5" s="7">
        <v>3100</v>
      </c>
      <c r="D5" s="7">
        <v>7200</v>
      </c>
    </row>
    <row r="6" spans="1:4" x14ac:dyDescent="0.25">
      <c r="A6" s="17" t="s">
        <v>102</v>
      </c>
      <c r="B6" s="34">
        <f>SUM(B4:B5)</f>
        <v>15950</v>
      </c>
      <c r="C6" s="34">
        <f t="shared" ref="C6:D6" si="0">SUM(C4:C5)</f>
        <v>34100</v>
      </c>
      <c r="D6" s="34">
        <f t="shared" si="0"/>
        <v>79200</v>
      </c>
    </row>
    <row r="8" spans="1:4" x14ac:dyDescent="0.25">
      <c r="A8" s="12" t="s">
        <v>93</v>
      </c>
    </row>
    <row r="9" spans="1:4" x14ac:dyDescent="0.25">
      <c r="A9" t="s">
        <v>94</v>
      </c>
      <c r="B9" s="7">
        <v>1500</v>
      </c>
      <c r="C9" s="7">
        <v>2500</v>
      </c>
      <c r="D9" s="7">
        <v>3100</v>
      </c>
    </row>
    <row r="10" spans="1:4" x14ac:dyDescent="0.25">
      <c r="A10" t="s">
        <v>95</v>
      </c>
      <c r="B10" s="7">
        <v>210</v>
      </c>
      <c r="C10" s="7">
        <v>300</v>
      </c>
      <c r="D10" s="7">
        <v>450</v>
      </c>
    </row>
    <row r="11" spans="1:4" x14ac:dyDescent="0.25">
      <c r="A11" t="s">
        <v>96</v>
      </c>
      <c r="B11" s="7">
        <f>B17</f>
        <v>341914.28571428568</v>
      </c>
      <c r="C11" s="7">
        <f>C17</f>
        <v>629842.10526315786</v>
      </c>
      <c r="D11" s="7">
        <f>D17</f>
        <v>703941.17647058819</v>
      </c>
    </row>
    <row r="13" spans="1:4" x14ac:dyDescent="0.25">
      <c r="A13" s="11" t="s">
        <v>97</v>
      </c>
    </row>
    <row r="14" spans="1:4" x14ac:dyDescent="0.25">
      <c r="A14" t="s">
        <v>98</v>
      </c>
      <c r="B14" s="29">
        <v>30000</v>
      </c>
      <c r="C14" s="29">
        <v>30000</v>
      </c>
      <c r="D14" s="29">
        <v>30000</v>
      </c>
    </row>
    <row r="15" spans="1:4" x14ac:dyDescent="0.25">
      <c r="A15" t="s">
        <v>101</v>
      </c>
      <c r="B15" s="29">
        <v>35</v>
      </c>
      <c r="C15" s="29">
        <v>19</v>
      </c>
      <c r="D15" s="29">
        <v>17</v>
      </c>
    </row>
    <row r="16" spans="1:4" x14ac:dyDescent="0.25">
      <c r="A16" t="s">
        <v>99</v>
      </c>
      <c r="B16" s="7">
        <v>398.9</v>
      </c>
      <c r="C16" s="7">
        <v>398.9</v>
      </c>
      <c r="D16" s="7">
        <v>398.9</v>
      </c>
    </row>
    <row r="17" spans="1:4" x14ac:dyDescent="0.25">
      <c r="A17" t="s">
        <v>100</v>
      </c>
      <c r="B17" s="7">
        <f>(B14/B15)*B16</f>
        <v>341914.28571428568</v>
      </c>
      <c r="C17" s="7">
        <f t="shared" ref="C17:D17" si="1">(C14/C15)*C16</f>
        <v>629842.10526315786</v>
      </c>
      <c r="D17" s="7">
        <f t="shared" si="1"/>
        <v>703941.17647058819</v>
      </c>
    </row>
    <row r="19" spans="1:4" x14ac:dyDescent="0.25">
      <c r="A19" s="17" t="s">
        <v>103</v>
      </c>
      <c r="B19" s="34">
        <f>SUM(B9:B11)</f>
        <v>343624.28571428568</v>
      </c>
      <c r="C19" s="34">
        <f t="shared" ref="C19:D19" si="2">SUM(C9:C11)</f>
        <v>632642.10526315786</v>
      </c>
      <c r="D19" s="34">
        <f t="shared" si="2"/>
        <v>707491.17647058819</v>
      </c>
    </row>
    <row r="21" spans="1:4" x14ac:dyDescent="0.25">
      <c r="A21" t="s">
        <v>104</v>
      </c>
      <c r="B21" s="29">
        <v>30000</v>
      </c>
      <c r="C21" s="29">
        <v>30000</v>
      </c>
      <c r="D21" s="29">
        <v>30000</v>
      </c>
    </row>
    <row r="22" spans="1:4" x14ac:dyDescent="0.25">
      <c r="A22" t="s">
        <v>105</v>
      </c>
      <c r="B22" s="29">
        <v>250000</v>
      </c>
      <c r="C22" s="29">
        <v>250000</v>
      </c>
      <c r="D22" s="29">
        <v>250000</v>
      </c>
    </row>
    <row r="23" spans="1:4" x14ac:dyDescent="0.25">
      <c r="A23" t="s">
        <v>106</v>
      </c>
      <c r="B23" s="53">
        <f>B22/B21</f>
        <v>8.3333333333333339</v>
      </c>
      <c r="C23" s="53">
        <f t="shared" ref="C23:D23" si="3">C22/C21</f>
        <v>8.3333333333333339</v>
      </c>
      <c r="D23" s="53">
        <f t="shared" si="3"/>
        <v>8.3333333333333339</v>
      </c>
    </row>
    <row r="25" spans="1:4" x14ac:dyDescent="0.25">
      <c r="A25" t="s">
        <v>107</v>
      </c>
      <c r="B25" s="7">
        <f>B19*B23</f>
        <v>2863535.7142857141</v>
      </c>
      <c r="C25" s="7">
        <f t="shared" ref="C25:D25" si="4">C19*C23</f>
        <v>5272017.5438596494</v>
      </c>
      <c r="D25" s="7">
        <f t="shared" si="4"/>
        <v>5895759.8039215691</v>
      </c>
    </row>
    <row r="27" spans="1:4" x14ac:dyDescent="0.25">
      <c r="A27" t="s">
        <v>108</v>
      </c>
      <c r="B27" s="7">
        <f>B6+B25</f>
        <v>2879485.7142857141</v>
      </c>
      <c r="C27" s="7">
        <f t="shared" ref="C27:D27" si="5">C6+C25</f>
        <v>5306117.5438596494</v>
      </c>
      <c r="D27" s="7">
        <f t="shared" si="5"/>
        <v>5974959.8039215691</v>
      </c>
    </row>
    <row r="29" spans="1:4" x14ac:dyDescent="0.25">
      <c r="B29" s="22" t="s">
        <v>86</v>
      </c>
      <c r="C29" s="22" t="s">
        <v>87</v>
      </c>
      <c r="D29" s="22" t="s">
        <v>88</v>
      </c>
    </row>
    <row r="30" spans="1:4" ht="15.75" thickBot="1" x14ac:dyDescent="0.3">
      <c r="A30" s="38" t="s">
        <v>109</v>
      </c>
      <c r="B30" s="21">
        <f>B27/B23</f>
        <v>345538.28571428568</v>
      </c>
      <c r="C30" s="21">
        <f>C27/C23</f>
        <v>636734.10526315786</v>
      </c>
      <c r="D30" s="21">
        <f>D27/D23</f>
        <v>716995.17647058819</v>
      </c>
    </row>
    <row r="31" spans="1:4" ht="15.75" thickTop="1" x14ac:dyDescent="0.25"/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489afab-b0ec-4de7-b5b3-9d35d2dfc42f}" enabled="1" method="Privilege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School Shopping</vt:lpstr>
      <vt:lpstr>Cat or Dog</vt:lpstr>
      <vt:lpstr>Three vacations</vt:lpstr>
      <vt:lpstr>Clear up the printer confusion</vt:lpstr>
      <vt:lpstr>Choose from 3 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Patrick De Guzman</dc:creator>
  <cp:lastModifiedBy>John Patrick De Guzman</cp:lastModifiedBy>
  <dcterms:created xsi:type="dcterms:W3CDTF">2026-07-07T10:40:18Z</dcterms:created>
  <dcterms:modified xsi:type="dcterms:W3CDTF">2026-07-07T13:45:41Z</dcterms:modified>
</cp:coreProperties>
</file>